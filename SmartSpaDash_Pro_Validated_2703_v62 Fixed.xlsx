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START HERE" sheetId="2" r:id="rId6"/>
    <sheet state="visible" name="DASHBOARD V2" sheetId="3" r:id="rId7"/>
    <sheet state="visible" name="INPUT BOOKING" sheetId="4" r:id="rId8"/>
    <sheet state="visible" name="JADWAL HARIAN" sheetId="5" r:id="rId9"/>
    <sheet state="visible" name="INVOICE" sheetId="6" r:id="rId10"/>
    <sheet state="visible" name="CRM PELANGGAN" sheetId="7" r:id="rId11"/>
    <sheet state="visible" name="TRANSAKSI_LOG" sheetId="8" r:id="rId12"/>
    <sheet state="visible" name="USER ACCESS" sheetId="9" r:id="rId13"/>
    <sheet state="visible" name="STATUS MAP" sheetId="10" r:id="rId14"/>
    <sheet state="visible" name="REKAP HARIAN" sheetId="11" r:id="rId15"/>
    <sheet state="visible" name="REKAP BULANAN" sheetId="12" r:id="rId16"/>
    <sheet state="visible" name="KOMISI TERAPIS" sheetId="13" r:id="rId17"/>
    <sheet state="visible" name="KOMISI SA" sheetId="14" r:id="rId18"/>
    <sheet state="visible" name="MASTER_LAYANAN" sheetId="15" r:id="rId19"/>
    <sheet state="visible" name="MASTER_TERAPIS" sheetId="16" r:id="rId20"/>
    <sheet state="visible" name="MASTER_SA" sheetId="17" r:id="rId21"/>
    <sheet state="visible" name="MASTER_HOMECARE" sheetId="18" r:id="rId22"/>
    <sheet state="visible" name="MASTER_PROMO" sheetId="19" r:id="rId23"/>
    <sheet state="visible" name="MASTER_JENIS_PELANGGAN" sheetId="20" r:id="rId24"/>
    <sheet state="visible" name="MASTER_TANGGAL" sheetId="21" r:id="rId25"/>
    <sheet state="hidden" name="VALIDATION" sheetId="22" r:id="rId26"/>
    <sheet state="visible" name="SETTING" sheetId="23" r:id="rId27"/>
    <sheet state="visible" name="BANTUAN" sheetId="24" r:id="rId28"/>
    <sheet state="hidden" name="SYSTEM LOG" sheetId="25" r:id="rId29"/>
    <sheet state="hidden" name="DASHBOARD V2 DATA" sheetId="26" r:id="rId30"/>
  </sheets>
  <definedNames>
    <definedName name="LIST_THERAPIST">VALIDATION!$D$2:$D$5</definedName>
    <definedName name="LIST_SERVICE">VALIDATION!$C$2:$C$92</definedName>
    <definedName name="LIST_AREA">VALIDATION!$F$2:$F$4</definedName>
    <definedName name="LIST_BOOKING_TYPE">VALIDATION!$A$2:$A$3</definedName>
    <definedName name="LIST_STATUS">VALIDATION!$B$2:$B$5</definedName>
    <definedName name="LIST_PAYMENT">VALIDATION!$E$2:$E$4</definedName>
    <definedName name="LIST_PROMO">VALIDATION!$G$2:$G$6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tc={0d7eb99f-931b-497c-bfe9-e286c420e158}</author>
    <author>tc={179e6b03-51ae-461a-9d00-223c64da50f6}</author>
    <author>tc={22550e47-869a-43c0-89bd-9d09c7d1fb4d}</author>
    <author>tc={22c656fa-bb69-4b8d-8d8b-06ad75db9d67}</author>
    <author>tc={34719757-220c-45b1-81b9-fad207077e6b}</author>
    <author>tc={4db58c00-fc8c-4399-870c-4f04f82e9495}</author>
    <author>tc={6f4e2dda-42d7-46a0-8b09-72852b8da92b}</author>
    <author>tc={6f785b41-32c9-4428-8829-6c4d2a728c9d}</author>
    <author>tc={996e80a5-d80d-4382-b5e9-511c5ccf2497}</author>
    <author>tc={a3097630-d235-4410-a277-2a66f6f42b9a}</author>
    <author>tc={f0c17d0f-3c3d-4986-9ea1-88b77df56e9b}</author>
  </authors>
  <commentList>
    <comment authorId="0" xr:uid="{0d7eb99f-931b-497c-bfe9-e286c420e158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1" xr:uid="{179e6b03-51ae-461a-9d00-223c64da50f6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2" xr:uid="{22550e47-869a-43c0-89bd-9d09c7d1fb4d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logout dari sesi aktif.
</t>
      </text>
    </comment>
    <comment authorId="3" xr:uid="{22c656fa-bb69-4b8d-8d8b-06ad75db9d67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login menggunakan email dan PIN pada sheet LOGIN.
</t>
      </text>
    </comment>
    <comment authorId="4" xr:uid="{34719757-220c-45b1-81b9-fad207077e6b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5" xr:uid="{4db58c00-fc8c-4399-870c-4f04f82e9495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6" xr:uid="{6f4e2dda-42d7-46a0-8b09-72852b8da92b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7" xr:uid="{6f785b41-32c9-4428-8829-6c4d2a728c9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8" xr:uid="{996e80a5-d80d-4382-b5e9-511c5ccf2497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9" xr:uid="{a3097630-d235-4410-a277-2a66f6f42b9a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10" xr:uid="{f0c17d0f-3c3d-4986-9ea1-88b77df56e9b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tc={14cd7a73-5581-451b-b1b6-869405a3ad6b}</author>
    <author>tc={45f411c7-4547-47a6-a07f-5cc55418017c}</author>
    <author>tc={4c27a44f-47ec-4598-bd57-618b85af0f09}</author>
    <author>tc={4e839c0f-a055-4cc4-8605-a2e418c6b480}</author>
    <author>tc={74804f78-bac0-4dd5-bab2-03104daa66d7}</author>
    <author>tc={8d0d3a81-7c87-40b5-bc3b-3e3ed23543f8}</author>
    <author>tc={9f79647e-598c-4876-8cef-688462dbbc7c}</author>
    <author>tc={eebd3113-dd68-442c-bcbc-ad020d90b563}</author>
    <author>tc={f39df65e-9765-43fd-a787-18901ba43c3f}</author>
    <author>tc={f9c714e4-ff80-4b63-a57e-b652786479a2}</author>
  </authors>
  <commentList>
    <comment authorId="0" xr:uid="{14cd7a73-5581-451b-b1b6-869405a3ad6b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1" xr:uid="{45f411c7-4547-47a6-a07f-5cc55418017c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SmartSpaDash : Klik untuk reset filter Dashboard V2 ke Semua Tahun, Semua Bulan, dan Semua Hari.
</t>
      </text>
    </comment>
    <comment authorId="2" xr:uid="{4c27a44f-47ec-4598-bd57-618b85af0f09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3" xr:uid="{4e839c0f-a055-4cc4-8605-a2e418c6b480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4" xr:uid="{74804f78-bac0-4dd5-bab2-03104daa66d7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5" xr:uid="{8d0d3a81-7c87-40b5-bc3b-3e3ed23543f8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6" xr:uid="{9f79647e-598c-4876-8cef-688462dbbc7c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7" xr:uid="{eebd3113-dd68-442c-bcbc-ad020d90b563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8" xr:uid="{f39df65e-9765-43fd-a787-18901ba43c3f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9" xr:uid="{f9c714e4-ff80-4b63-a57e-b652786479a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tc={00e7a85d-7c5c-4d6e-8ac3-d7ba0b4c0edb}</author>
    <author>tc={04fad887-b2c5-4a14-94ac-d83dc3d54406}</author>
    <author>tc={11f4da05-c278-4e4b-925f-babaa7511d8d}</author>
    <author>tc={26e51a81-7275-4614-81a3-a7a2afb3e7dc}</author>
    <author>tc={32c4ade6-c842-4f69-b65c-38ccda80e0cb}</author>
    <author>tc={5120dd3a-f668-4d35-b6c5-d0d84d0edaaf}</author>
    <author>tc={51ebb096-53a9-40f4-9044-7fff1a0c1225}</author>
    <author>tc={5e5bc303-4c86-4403-8238-6480aa01f65f}</author>
    <author>tc={8ccbb3ec-410e-4a03-b964-91e03f8b86c1}</author>
    <author>tc={90b6868f-4a43-4b29-9241-2e0585b5384d}</author>
    <author>tc={957a3ad3-041e-45c6-b5dc-4adea0c511b4}</author>
    <author>tc={98b35348-1e9a-486f-b126-247cc329610d}</author>
    <author>tc={b29d45e4-4a6a-46a8-b98d-2ee205a00b66}</author>
    <author>tc={c969c9e5-c114-44e1-9931-39883814b877}</author>
    <author>tc={cab1344c-1be2-4467-91e5-8b0498a003bc}</author>
    <author>tc={eb601298-eb89-45b9-a96d-0a5757f4d54d}</author>
    <author>tc={fe459d49-bb5a-48d8-af01-44ef644e635d}</author>
  </authors>
  <commentList>
    <comment authorId="0" xr:uid="{00e7a85d-7c5c-4d6e-8ac3-d7ba0b4c0edb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reset form input booking.
</t>
      </text>
    </comment>
    <comment authorId="1" xr:uid="{04fad887-b2c5-4a14-94ac-d83dc3d54406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tandai lunas berdasarkan hasil pencarian K6:K17.
</t>
      </text>
    </comment>
    <comment authorId="2" xr:uid="{11f4da05-c278-4e4b-925f-babaa7511d8d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menyimpan booking baru.
</t>
      </text>
    </comment>
    <comment authorId="3" xr:uid="{26e51a81-7275-4614-81a3-a7a2afb3e7dc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4" xr:uid="{32c4ade6-c842-4f69-b65c-38ccda80e0cb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5" xr:uid="{5120dd3a-f668-4d35-b6c5-d0d84d0edaaf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6" xr:uid="{51ebb096-53a9-40f4-9044-7fff1a0c1225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7" xr:uid="{5e5bc303-4c86-4403-8238-6480aa01f65f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8" xr:uid="{8ccbb3ec-410e-4a03-b964-91e03f8b86c1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mencari booking dari F16 dan menampilkan hasil di K6:K17.
</t>
      </text>
    </comment>
    <comment authorId="9" xr:uid="{90b6868f-4a43-4b29-9241-2e0585b5384d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10" xr:uid="{957a3ad3-041e-45c6-b5dc-4adea0c511b4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11" xr:uid="{98b35348-1e9a-486f-b126-247cc329610d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12" xr:uid="{b29d45e4-4a6a-46a8-b98d-2ee205a00b66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cek bentrok jadwal.
</t>
      </text>
    </comment>
    <comment authorId="13" xr:uid="{c969c9e5-c114-44e1-9931-39883814b877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tandai sesi selesai berdasarkan hasil pencarian K6:K17.
</t>
      </text>
    </comment>
    <comment authorId="14" xr:uid="{cab1344c-1be2-4467-91e5-8b0498a003bc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15" xr:uid="{eb601298-eb89-45b9-a96d-0a5757f4d54d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mengembalikan booking hasil pencarian K6:K17 menjadi Belum Bayar, PENDING, dan Active.
</t>
      </text>
    </comment>
    <comment authorId="16" xr:uid="{fe459d49-bb5a-48d8-af01-44ef644e635d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membuat invoice dari hasil pencarian K6:K17.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tc={20fef181-ef93-424b-a82c-ee76361c85bd}</author>
    <author>tc={3fb291be-9ce2-4383-8167-970e0dc570df}</author>
    <author>tc={53b267f8-b9ed-4e52-ab5f-74c29b4dc4d3}</author>
    <author>tc={682c414b-194b-4792-984d-fa88b6637968}</author>
    <author>tc={74dc7e6c-6047-44e8-93eb-3f29b4d7a2e6}</author>
    <author>tc={7e7104e6-fcbc-4d19-9ab0-d6bd32292e82}</author>
    <author>tc={a405ebd3-f050-4f6f-a8d7-4bcfe43fa580}</author>
    <author>tc={af16d87a-4976-4042-9ca2-c0924188f6fc}</author>
    <author>tc={b1adaa56-1367-43b0-aab5-6d048330f3c8}</author>
  </authors>
  <commentList>
    <comment authorId="0" xr:uid="{20fef181-ef93-424b-a82c-ee76361c85b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1" xr:uid="{3fb291be-9ce2-4383-8167-970e0dc570df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2" xr:uid="{53b267f8-b9ed-4e52-ab5f-74c29b4dc4d3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3" xr:uid="{682c414b-194b-4792-984d-fa88b6637968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4" xr:uid="{74dc7e6c-6047-44e8-93eb-3f29b4d7a2e6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5" xr:uid="{7e7104e6-fcbc-4d19-9ab0-d6bd32292e8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6" xr:uid="{a405ebd3-f050-4f6f-a8d7-4bcfe43fa580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7" xr:uid="{af16d87a-4976-4042-9ca2-c0924188f6fc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8" xr:uid="{b1adaa56-1367-43b0-aab5-6d048330f3c8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tc={2f550564-f07c-4c13-a5c6-04f0ec34cbfe}</author>
    <author>tc={375aa5ce-70b5-4b12-80f1-3ff5aca612e7}</author>
    <author>tc={4718224f-9e83-46a5-bc58-2fb8ff221fe1}</author>
    <author>tc={50219e43-9309-49a6-94af-7fabc0614edc}</author>
    <author>tc={6f2d073a-7d2a-4468-9bee-ba9111183819}</author>
    <author>tc={c3fb0233-6dff-4fd5-b72d-21bf4896fb29}</author>
    <author>tc={cf153dbe-922a-4a7a-88ce-c937b57ef333}</author>
    <author>tc={d6a7748f-31ea-427c-99d3-16822b7c7f49}</author>
    <author>tc={f0ed70d7-44e5-460c-8863-b282ee4cdf99}</author>
  </authors>
  <commentList>
    <comment authorId="0" xr:uid="{2f550564-f07c-4c13-a5c6-04f0ec34cbfe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1" xr:uid="{375aa5ce-70b5-4b12-80f1-3ff5aca612e7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2" xr:uid="{4718224f-9e83-46a5-bc58-2fb8ff221fe1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3" xr:uid="{50219e43-9309-49a6-94af-7fabc0614edc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4" xr:uid="{6f2d073a-7d2a-4468-9bee-ba9111183819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5" xr:uid="{c3fb0233-6dff-4fd5-b72d-21bf4896fb29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6" xr:uid="{cf153dbe-922a-4a7a-88ce-c937b57ef333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7" xr:uid="{d6a7748f-31ea-427c-99d3-16822b7c7f49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8" xr:uid="{f0ed70d7-44e5-460c-8863-b282ee4cdf99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tc={02e91aaa-3a4f-4d66-9802-3b84fc800524}</author>
    <author>tc={20a7193f-29ab-48c7-9fd3-4d82d6d4040b}</author>
    <author>tc={40be6830-17d7-4e7b-b12e-d744bfe28bb4}</author>
    <author>tc={485d2623-5933-467d-bb2e-13e9e6116ef9}</author>
    <author>tc={500c89be-6faf-44da-a5d6-6f8330d8fcb6}</author>
    <author>tc={6adad2f5-7724-44dc-90e1-386b8a169d1f}</author>
    <author>tc={78bc5a2c-3f20-4824-9df5-d7a366a54e7d}</author>
    <author>tc={842f3f9d-ab70-405d-9355-4c0da98b8ef2}</author>
    <author>tc={bfe308fa-f937-4901-b31b-c3bad7e4113f}</author>
  </authors>
  <commentList>
    <comment authorId="0" xr:uid="{02e91aaa-3a4f-4d66-9802-3b84fc800524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1" xr:uid="{20a7193f-29ab-48c7-9fd3-4d82d6d4040b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2" xr:uid="{40be6830-17d7-4e7b-b12e-d744bfe28bb4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3" xr:uid="{485d2623-5933-467d-bb2e-13e9e6116ef9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4" xr:uid="{500c89be-6faf-44da-a5d6-6f8330d8fcb6}" ref="A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5" xr:uid="{6adad2f5-7724-44dc-90e1-386b8a169d1f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6" xr:uid="{78bc5a2c-3f20-4824-9df5-d7a366a54e7d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7" xr:uid="{842f3f9d-ab70-405d-9355-4c0da98b8ef2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8" xr:uid="{bfe308fa-f937-4901-b31b-c3bad7e4113f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tc={13a2a62d-a7ca-4dea-bbf2-5d1eddea419c}</author>
    <author>tc={4e18557a-7e3b-4642-bf0a-fdea370b323a}</author>
    <author>tc={75b5f8ef-91e6-495e-9b85-f1d8029c86d8}</author>
    <author>tc={954e38aa-bfe1-4c95-bf75-e51d2aa7d5f5}</author>
    <author>tc={a30ebfe2-94b8-44fd-8d7c-2d94ae47095b}</author>
    <author>tc={c88320e0-888e-4f77-89e4-87f9c1f35731}</author>
    <author>tc={d038a816-8679-4345-bce4-6a9ffb95a55d}</author>
    <author>tc={d9560304-5773-43cc-a925-3af10f6c683f}</author>
    <author>tc={dff505e6-f1ce-4756-b88e-cf98388039c5}</author>
  </authors>
  <commentList>
    <comment authorId="0" xr:uid="{13a2a62d-a7ca-4dea-bbf2-5d1eddea419c}" ref="A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1" xr:uid="{4e18557a-7e3b-4642-bf0a-fdea370b323a}" ref="A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2" xr:uid="{75b5f8ef-91e6-495e-9b85-f1d8029c86d8}" ref="A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3" xr:uid="{954e38aa-bfe1-4c95-bf75-e51d2aa7d5f5}" ref="A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4" xr:uid="{a30ebfe2-94b8-44fd-8d7c-2d94ae47095b}" ref="A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5" xr:uid="{c88320e0-888e-4f77-89e4-87f9c1f35731}" ref="A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6" xr:uid="{d038a816-8679-4345-bce4-6a9ffb95a55d}" ref="A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7" xr:uid="{d9560304-5773-43cc-a925-3af10f6c683f}" ref="A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8" xr:uid="{dff505e6-f1ce-4756-b88e-cf98388039c5}" ref="A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tc={161fccfb-add3-4eab-8e78-1a9a5995a02b}</author>
    <author>tc={27056ef5-e089-463b-b604-b167c500e8f9}</author>
    <author>tc={34cfe3b9-f1d5-48b7-95f0-017e7dd975dd}</author>
    <author>tc={3c9b2c7d-dae3-46fa-9e7b-984b0e992df4}</author>
    <author>tc={94265ac7-7d9c-401b-b129-34c49d67b2c3}</author>
    <author>tc={9c0b47ae-1c77-442b-bf1a-e4c8039948c6}</author>
    <author>tc={b9fdbb6e-0ebc-46f4-ae8b-29fd60cb286a}</author>
    <author>tc={cc907264-6180-4e91-a3d5-168f661001dc}</author>
    <author>tc={fd6700e0-aea1-4b29-8e98-741a8eac69a9}</author>
  </authors>
  <commentList>
    <comment authorId="0" xr:uid="{161fccfb-add3-4eab-8e78-1a9a5995a02b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1" xr:uid="{27056ef5-e089-463b-b604-b167c500e8f9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2" xr:uid="{34cfe3b9-f1d5-48b7-95f0-017e7dd975dd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3" xr:uid="{3c9b2c7d-dae3-46fa-9e7b-984b0e992df4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4" xr:uid="{94265ac7-7d9c-401b-b129-34c49d67b2c3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5" xr:uid="{9c0b47ae-1c77-442b-bf1a-e4c8039948c6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  <comment authorId="6" xr:uid="{b9fdbb6e-0ebc-46f4-ae8b-29fd60cb286a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7" xr:uid="{cc907264-6180-4e91-a3d5-168f661001dc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8" xr:uid="{fd6700e0-aea1-4b29-8e98-741a8eac69a9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tc={1893aedc-fe2e-4b02-a042-54acd453f793}</author>
    <author>tc={4266a600-d02e-462b-a24e-87affd5f86e2}</author>
    <author>tc={55da3c1e-54be-48f8-8da0-8ae6b3a62551}</author>
    <author>tc={67888420-044f-45dc-899b-0be0960cd643}</author>
    <author>tc={6eba8708-415f-4211-a441-576681b1bbff}</author>
    <author>tc={71be0d86-7319-4afe-978a-dc28e71c7a19}</author>
    <author>tc={7f56b8c4-93b7-4958-916c-314b9ea27edb}</author>
    <author>tc={bfdaa4f1-cd5a-4d8f-b000-2516c1eb7ef4}</author>
    <author>tc={f1948102-94d0-4912-98f4-3fab0a37a21b}</author>
  </authors>
  <commentList>
    <comment authorId="0" xr:uid="{1893aedc-fe2e-4b02-a042-54acd453f793}" ref="Y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HARIAN.
</t>
      </text>
    </comment>
    <comment authorId="1" xr:uid="{4266a600-d02e-462b-a24e-87affd5f86e2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TRANSAKSI_LOG.
</t>
      </text>
    </comment>
    <comment authorId="2" xr:uid="{55da3c1e-54be-48f8-8da0-8ae6b3a62551}" ref="A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LOGIN.
</t>
      </text>
    </comment>
    <comment authorId="3" xr:uid="{67888420-044f-45dc-899b-0be0960cd643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DASHBOARD V2.
</t>
      </text>
    </comment>
    <comment authorId="4" xr:uid="{6eba8708-415f-4211-a441-576681b1bbff}" ref="A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JADWAL HARIAN.
</t>
      </text>
    </comment>
    <comment authorId="5" xr:uid="{71be0d86-7319-4afe-978a-dc28e71c7a19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CRM PELANGGAN.
</t>
      </text>
    </comment>
    <comment authorId="6" xr:uid="{7f56b8c4-93b7-4958-916c-314b9ea27edb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REKAP BULANAN.
</t>
      </text>
    </comment>
    <comment authorId="7" xr:uid="{bfdaa4f1-cd5a-4d8f-b000-2516c1eb7ef4}" ref="A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INVOICE.
</t>
      </text>
    </comment>
    <comment authorId="8" xr:uid="{f1948102-94d0-4912-98f4-3fab0a37a21b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pindah ke sheet INPUT BOOKING.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tc={1ab40656-5568-4638-a8a7-aaed69800d5e}</author>
  </authors>
  <commentList>
    <comment authorId="0" xr:uid="{1ab40656-5568-4638-a8a7-aaed69800d5e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SmartSpaDash : Klik untuk menarik data master terapis aktif ke sheet KOMISI TERAPIS dan memperbarui komisi.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tc={f0b29071-3ed1-4259-aec1-cd5fad77e315}</author>
  </authors>
  <commentList>
    <comment authorId="0" xr:uid="{f0b29071-3ed1-4259-aec1-cd5fad77e315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SmartSpaDash : Klik untuk menarik data master SA aktif ke sheet KOMISI SA dan memperbarui komisi.
</t>
      </text>
    </comment>
  </commentList>
</comments>
</file>

<file path=xl/sharedStrings.xml><?xml version="1.0" encoding="utf-8"?>
<sst xmlns="http://schemas.openxmlformats.org/spreadsheetml/2006/main" count="1728" uniqueCount="796">
  <si>
    <t>DASHBOARD</t>
  </si>
  <si>
    <t>INPUT</t>
  </si>
  <si>
    <t>LOG</t>
  </si>
  <si>
    <t>CRM</t>
  </si>
  <si>
    <t>HARIAN</t>
  </si>
  <si>
    <t>BULANAN</t>
  </si>
  <si>
    <t>INVOICE</t>
  </si>
  <si>
    <t>JADWAL</t>
  </si>
  <si>
    <t>LOGIN</t>
  </si>
  <si>
    <t>Nama Email</t>
  </si>
  <si>
    <t>puguh.legowo.k@gmail.com</t>
  </si>
  <si>
    <t>PIN</t>
  </si>
  <si>
    <t>Role</t>
  </si>
  <si>
    <t>OWNER</t>
  </si>
  <si>
    <t>Status</t>
  </si>
  <si>
    <t>LOGIN OK</t>
  </si>
  <si>
    <t>LOGOUT</t>
  </si>
  <si>
    <t>Tanggal Login</t>
  </si>
  <si>
    <t>START HERE - 5 LANGKAH CEPAT (VERSI PREMIUM)</t>
  </si>
  <si>
    <t>No</t>
  </si>
  <si>
    <t>Langkah</t>
  </si>
  <si>
    <t>Pilih Menu SmartSpaDash Premium, klik Otorisasi Akun Google</t>
  </si>
  <si>
    <t>Login di sheet login</t>
  </si>
  <si>
    <t>Isi semua master layanan, terapis, SA ( Sheet Warna Kuning )</t>
  </si>
  <si>
    <t xml:space="preserve">Input Booking </t>
  </si>
  <si>
    <t>Pantau hasil di DASHBOARD, JADWAL HARIAN, REKAP, dan KOMISI TERAPIS.</t>
  </si>
  <si>
    <t>Tahun</t>
  </si>
  <si>
    <t>Semua Tahun</t>
  </si>
  <si>
    <t>Bulan</t>
  </si>
  <si>
    <t>Maret</t>
  </si>
  <si>
    <t>Hari</t>
  </si>
  <si>
    <t>Semua Hari</t>
  </si>
  <si>
    <t>RESET FILTER</t>
  </si>
  <si>
    <t>Total Booking Closed</t>
  </si>
  <si>
    <t>Omzet Closed</t>
  </si>
  <si>
    <t>Homecare Closed</t>
  </si>
  <si>
    <t>Inhouse Closed</t>
  </si>
  <si>
    <t>Avg Ticket Closed</t>
  </si>
  <si>
    <t>Filter Aktif</t>
  </si>
  <si>
    <t>Filter Ringkas</t>
  </si>
  <si>
    <t>10 Layanan Terlaris (Closed Booking)</t>
  </si>
  <si>
    <t>Year</t>
  </si>
  <si>
    <t>Ranking</t>
  </si>
  <si>
    <t>Layanan</t>
  </si>
  <si>
    <t>Category</t>
  </si>
  <si>
    <t>Inhouse/Homecare</t>
  </si>
  <si>
    <t>Jumlah Booking</t>
  </si>
  <si>
    <t>Month</t>
  </si>
  <si>
    <t>Day</t>
  </si>
  <si>
    <t>Trend Omzet Closed</t>
  </si>
  <si>
    <t>Trend Booking Closed</t>
  </si>
  <si>
    <t>Homecare vs Inhouse</t>
  </si>
  <si>
    <t>Dashboard V2 mengambil omzet hanya dari payment_status = Lunas dan service_done_status = DONE.</t>
  </si>
  <si>
    <t>PILIH TANGGAL BOOKING:</t>
  </si>
  <si>
    <t>BULAN</t>
  </si>
  <si>
    <t>TAHUN</t>
  </si>
  <si>
    <t>INFORMASI BOOKING</t>
  </si>
  <si>
    <t>RINGKASAN PEMBAYARAN</t>
  </si>
  <si>
    <t>HASIL BOOKING</t>
  </si>
  <si>
    <t>HASIL CARI</t>
  </si>
  <si>
    <t>Tanggal Booking</t>
  </si>
  <si>
    <t>Jenis Booking</t>
  </si>
  <si>
    <t>Kode Booking Aktif</t>
  </si>
  <si>
    <t>Terapis</t>
  </si>
  <si>
    <t>Status Booking</t>
  </si>
  <si>
    <t>Kategori</t>
  </si>
  <si>
    <t>Area Homecare</t>
  </si>
  <si>
    <t>Durasi (menit)</t>
  </si>
  <si>
    <t>Jam Mulai</t>
  </si>
  <si>
    <t>Promo / Diskon</t>
  </si>
  <si>
    <t>Harga Layanan</t>
  </si>
  <si>
    <t>Nilai Diskon</t>
  </si>
  <si>
    <t>DATA PELANGGAN</t>
  </si>
  <si>
    <t>Biaya Transport</t>
  </si>
  <si>
    <t>Nama Mama / Ortu</t>
  </si>
  <si>
    <t>No WhatsApp</t>
  </si>
  <si>
    <t>Grand Total</t>
  </si>
  <si>
    <t>Nama Anak</t>
  </si>
  <si>
    <t>Usia Anak/ Mama</t>
  </si>
  <si>
    <t>Fee Terapis</t>
  </si>
  <si>
    <t>Alamat</t>
  </si>
  <si>
    <t>Berat Anak/ Mama</t>
  </si>
  <si>
    <t>Fee Admin</t>
  </si>
  <si>
    <t>Catatan Booking</t>
  </si>
  <si>
    <t>Metode Bayar</t>
  </si>
  <si>
    <t>Sisa Bayar</t>
  </si>
  <si>
    <t>Deposit</t>
  </si>
  <si>
    <t>Cari Booking / WA</t>
  </si>
  <si>
    <t>Nama Ibu / Ortu</t>
  </si>
  <si>
    <t>KODE BOOKING BELUM LUNAS / BELUM SELESAI</t>
  </si>
  <si>
    <t>SIMPAN BOOKING</t>
  </si>
  <si>
    <t>RESET FORM</t>
  </si>
  <si>
    <t>Booking_ID</t>
  </si>
  <si>
    <t>Payment_Status</t>
  </si>
  <si>
    <t>service_done      status</t>
  </si>
  <si>
    <t>CEK BENTROK</t>
  </si>
  <si>
    <t>CARI BOOKING</t>
  </si>
  <si>
    <t>BATAL DONE /LUNAS</t>
  </si>
  <si>
    <t>BUAT INVOICE</t>
  </si>
  <si>
    <t>TANDAI LUNAS</t>
  </si>
  <si>
    <t>TANDAI SELESAI</t>
  </si>
  <si>
    <t>Panduan Cepat</t>
  </si>
  <si>
    <t>Isi No WA / kode booking di F16 lalu klik Cari Booking. J22/H24/J24 akan memproses hasil di K6:K17.</t>
  </si>
  <si>
    <t>Status Sistem</t>
  </si>
  <si>
    <t>SmartSpaDash : Form berhasil di-reset.</t>
  </si>
  <si>
    <t>PILIH TANGGAL</t>
  </si>
  <si>
    <t>PILIH BULAN</t>
  </si>
  <si>
    <t>PILIH TAHUN</t>
  </si>
  <si>
    <t>Tanggal Jadwal</t>
  </si>
  <si>
    <t>Jam</t>
  </si>
  <si>
    <t>No Invoice</t>
  </si>
  <si>
    <t>INV-BK-20260325-001</t>
  </si>
  <si>
    <t>Tanggal Cetak</t>
  </si>
  <si>
    <t>Nama Customer</t>
  </si>
  <si>
    <t>jjhhjh</t>
  </si>
  <si>
    <t>lmlm</t>
  </si>
  <si>
    <t>Jam Booking</t>
  </si>
  <si>
    <t>Newborn Starter Pack With Piercing (Paket Awal Kehidupan)</t>
  </si>
  <si>
    <t>Caccaca</t>
  </si>
  <si>
    <t>Harga</t>
  </si>
  <si>
    <t>Diskon</t>
  </si>
  <si>
    <t>Transport</t>
  </si>
  <si>
    <t>Status Bayar</t>
  </si>
  <si>
    <t>Belum Bayar</t>
  </si>
  <si>
    <t>customer_id</t>
  </si>
  <si>
    <t>parent_name</t>
  </si>
  <si>
    <t>phone</t>
  </si>
  <si>
    <t>address</t>
  </si>
  <si>
    <t>child_name</t>
  </si>
  <si>
    <t>child_age</t>
  </si>
  <si>
    <t>visit_count</t>
  </si>
  <si>
    <t>total_spending</t>
  </si>
  <si>
    <t>avg_per_visit</t>
  </si>
  <si>
    <t>last_visit</t>
  </si>
  <si>
    <t>customer_type</t>
  </si>
  <si>
    <t>L0001</t>
  </si>
  <si>
    <t>3e3e3</t>
  </si>
  <si>
    <t>1 Bulan</t>
  </si>
  <si>
    <t>25-3-2026</t>
  </si>
  <si>
    <t>Baru</t>
  </si>
  <si>
    <t>L0002</t>
  </si>
  <si>
    <t>dsdsds</t>
  </si>
  <si>
    <t>3r4r4t</t>
  </si>
  <si>
    <t>gghhggh</t>
  </si>
  <si>
    <t>25 Tahun</t>
  </si>
  <si>
    <t>Oxytocin Stimulation Massage HC (Pijat Oksitosin)</t>
  </si>
  <si>
    <t>L0003</t>
  </si>
  <si>
    <t>aqaq</t>
  </si>
  <si>
    <t>yyuu7878</t>
  </si>
  <si>
    <t>cvcv</t>
  </si>
  <si>
    <t>12 Bulan</t>
  </si>
  <si>
    <t>Healthy Breath Package (Paket Nafas Sehat)</t>
  </si>
  <si>
    <t>L0004</t>
  </si>
  <si>
    <t>rtrtrt</t>
  </si>
  <si>
    <t>jjkkk889</t>
  </si>
  <si>
    <t>iuiuiu</t>
  </si>
  <si>
    <t>26-3-2026</t>
  </si>
  <si>
    <t>booking_id</t>
  </si>
  <si>
    <t>created_at</t>
  </si>
  <si>
    <t>booking_date</t>
  </si>
  <si>
    <t>month_name</t>
  </si>
  <si>
    <t>start_time</t>
  </si>
  <si>
    <t>end_time</t>
  </si>
  <si>
    <t>booking_type</t>
  </si>
  <si>
    <t>service_name</t>
  </si>
  <si>
    <t>service_category</t>
  </si>
  <si>
    <t>therapist_name</t>
  </si>
  <si>
    <t>list_price</t>
  </si>
  <si>
    <t>discount_code</t>
  </si>
  <si>
    <t>discount_value</t>
  </si>
  <si>
    <t>transport_area</t>
  </si>
  <si>
    <t>transport_fee</t>
  </si>
  <si>
    <t>grand_total</t>
  </si>
  <si>
    <t>deposit_amount</t>
  </si>
  <si>
    <t>remaining_balance</t>
  </si>
  <si>
    <t>payment_method</t>
  </si>
  <si>
    <t>payment_status</t>
  </si>
  <si>
    <t>booking_status</t>
  </si>
  <si>
    <t>service_done_status</t>
  </si>
  <si>
    <t>notes</t>
  </si>
  <si>
    <t>therapist_fee</t>
  </si>
  <si>
    <t>admin_fee</t>
  </si>
  <si>
    <t>record_status</t>
  </si>
  <si>
    <t>month_num</t>
  </si>
  <si>
    <t>year_num</t>
  </si>
  <si>
    <t>BK-20260325-001</t>
  </si>
  <si>
    <t>Inhouse</t>
  </si>
  <si>
    <t>BABY</t>
  </si>
  <si>
    <t>NONE</t>
  </si>
  <si>
    <t>Qris</t>
  </si>
  <si>
    <t>Lunas</t>
  </si>
  <si>
    <t>Done</t>
  </si>
  <si>
    <t>DONE</t>
  </si>
  <si>
    <t>Active</t>
  </si>
  <si>
    <t>BK-20260325-002</t>
  </si>
  <si>
    <t>Homecare</t>
  </si>
  <si>
    <t>HOMECARE MOM</t>
  </si>
  <si>
    <t>ggagaga</t>
  </si>
  <si>
    <t>Zona Sedang</t>
  </si>
  <si>
    <t>BK-20260325-003</t>
  </si>
  <si>
    <t>bababab</t>
  </si>
  <si>
    <t>BK-20260326-004</t>
  </si>
  <si>
    <t>Colic Relief Massage Baby (Pijat Kolik)</t>
  </si>
  <si>
    <t>hahaha</t>
  </si>
  <si>
    <t>email</t>
  </si>
  <si>
    <t>pin</t>
  </si>
  <si>
    <t>role</t>
  </si>
  <si>
    <t>display_name</t>
  </si>
  <si>
    <t>is_active</t>
  </si>
  <si>
    <t>Owner Utama</t>
  </si>
  <si>
    <t>Y</t>
  </si>
  <si>
    <t>Ganti PIN setelah setup</t>
  </si>
  <si>
    <t>refinna.sari.86@gmail.com</t>
  </si>
  <si>
    <t>ADMIN</t>
  </si>
  <si>
    <t>Admin Frontdesk</t>
  </si>
  <si>
    <t>domain</t>
  </si>
  <si>
    <t>status_code</t>
  </si>
  <si>
    <t>label_id</t>
  </si>
  <si>
    <t>meaning</t>
  </si>
  <si>
    <t>owner_metric</t>
  </si>
  <si>
    <t>Booking aktif dan terjadwal</t>
  </si>
  <si>
    <t>booking_open</t>
  </si>
  <si>
    <t>Sesi selesai / closed by operation</t>
  </si>
  <si>
    <t>booking_done</t>
  </si>
  <si>
    <t>Cancelled</t>
  </si>
  <si>
    <t>Dibatalkan</t>
  </si>
  <si>
    <t>booking_cancelled</t>
  </si>
  <si>
    <t>Belum ada pembayaran masuk</t>
  </si>
  <si>
    <t>ar_open</t>
  </si>
  <si>
    <t>DP</t>
  </si>
  <si>
    <t>Deposit masuk tetapi belum lunas</t>
  </si>
  <si>
    <t>ar_partial</t>
  </si>
  <si>
    <t>Tagihan selesai</t>
  </si>
  <si>
    <t>cash_closed</t>
  </si>
  <si>
    <t>PENDING</t>
  </si>
  <si>
    <t>Pending</t>
  </si>
  <si>
    <t>Sesi belum dilaksanakan</t>
  </si>
  <si>
    <t>session_open</t>
  </si>
  <si>
    <t>ONGOING</t>
  </si>
  <si>
    <t>On Going</t>
  </si>
  <si>
    <t>Sesi sedang berjalan</t>
  </si>
  <si>
    <t>session_live</t>
  </si>
  <si>
    <t>Sesi sudah selesai</t>
  </si>
  <si>
    <t>session_closed</t>
  </si>
  <si>
    <t>Baris transaksi aktif</t>
  </si>
  <si>
    <t>included</t>
  </si>
  <si>
    <t>Archived</t>
  </si>
  <si>
    <t>Baris disimpan / tidak aktif</t>
  </si>
  <si>
    <t>excluded</t>
  </si>
  <si>
    <t>REKAP HARIAN</t>
  </si>
  <si>
    <t>PILIH BULAN :</t>
  </si>
  <si>
    <t>date</t>
  </si>
  <si>
    <t>total_booking</t>
  </si>
  <si>
    <t>homecare_count</t>
  </si>
  <si>
    <t>inhouse_count</t>
  </si>
  <si>
    <t>gross_revenue</t>
  </si>
  <si>
    <t>pending_payment</t>
  </si>
  <si>
    <t>done_count</t>
  </si>
  <si>
    <t>last_updated</t>
  </si>
  <si>
    <t>1-3-2026</t>
  </si>
  <si>
    <t>27/03/2026 08:47</t>
  </si>
  <si>
    <t>2-3-2026</t>
  </si>
  <si>
    <t>3-3-2026</t>
  </si>
  <si>
    <t>4-3-2026</t>
  </si>
  <si>
    <t>5-3-2026</t>
  </si>
  <si>
    <t>6-3-2026</t>
  </si>
  <si>
    <t>7-3-2026</t>
  </si>
  <si>
    <t>8-3-2026</t>
  </si>
  <si>
    <t>9-3-2026</t>
  </si>
  <si>
    <t>10-3-2026</t>
  </si>
  <si>
    <t>11-3-2026</t>
  </si>
  <si>
    <t>12-3-2026</t>
  </si>
  <si>
    <t>13-3-2026</t>
  </si>
  <si>
    <t>14-3-2026</t>
  </si>
  <si>
    <t>15-3-2026</t>
  </si>
  <si>
    <t>16-3-2026</t>
  </si>
  <si>
    <t>17-3-2026</t>
  </si>
  <si>
    <t>18-3-2026</t>
  </si>
  <si>
    <t>19-3-2026</t>
  </si>
  <si>
    <t>20-3-2026</t>
  </si>
  <si>
    <t>21-3-2026</t>
  </si>
  <si>
    <t>22-3-2026</t>
  </si>
  <si>
    <t>23-3-2026</t>
  </si>
  <si>
    <t>24-3-2026</t>
  </si>
  <si>
    <t>27-3-2026</t>
  </si>
  <si>
    <t>28-3-2026</t>
  </si>
  <si>
    <t>29-3-2026</t>
  </si>
  <si>
    <t>30-3-2026</t>
  </si>
  <si>
    <t>31-3-2026</t>
  </si>
  <si>
    <t>REKAP BULANAN</t>
  </si>
  <si>
    <t>avg_ticket</t>
  </si>
  <si>
    <t>top_therapist</t>
  </si>
  <si>
    <t>top_therapist_qty</t>
  </si>
  <si>
    <t>total_service</t>
  </si>
  <si>
    <t>top_service</t>
  </si>
  <si>
    <t>top_service_qty</t>
  </si>
  <si>
    <t>Januari</t>
  </si>
  <si>
    <t>Februari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</si>
  <si>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</si>
  <si>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</si>
  <si>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</si>
  <si>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</si>
  <si>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</si>
  <si>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</si>
  <si>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</si>
  <si>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</si>
  <si>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</si>
  <si>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KOMISI TERAPIS</t>
  </si>
  <si>
    <t>therapist_code</t>
  </si>
  <si>
    <t>service_fee_total</t>
  </si>
  <si>
    <t>transport_fee_total</t>
  </si>
  <si>
    <t>grand_incentive</t>
  </si>
  <si>
    <t>T001</t>
  </si>
  <si>
    <t>26/03/2026 22:36</t>
  </si>
  <si>
    <t>T002</t>
  </si>
  <si>
    <t>T003</t>
  </si>
  <si>
    <t>T004</t>
  </si>
  <si>
    <t>SA_code</t>
  </si>
  <si>
    <t>SA_name</t>
  </si>
  <si>
    <t>S001</t>
  </si>
  <si>
    <t>fhfhfhf</t>
  </si>
  <si>
    <t>25/03/2026 11:32</t>
  </si>
  <si>
    <t>service_code</t>
  </si>
  <si>
    <t>duration_min</t>
  </si>
  <si>
    <t>price</t>
  </si>
  <si>
    <t>active</t>
  </si>
  <si>
    <t>B001</t>
  </si>
  <si>
    <t>Baby Relaxation Massage (Pijat Relaksasi Bayi)</t>
  </si>
  <si>
    <t>YA</t>
  </si>
  <si>
    <t>B002</t>
  </si>
  <si>
    <t>Warm Water Swim Therapy (Renang &amp; Terapi Air Hangat)</t>
  </si>
  <si>
    <t>B003</t>
  </si>
  <si>
    <t>Basic Baby Gym (Gym Bayi Dasar)</t>
  </si>
  <si>
    <t>B004</t>
  </si>
  <si>
    <t>Baby Ball Gym (Gym Bola Bayi)</t>
  </si>
  <si>
    <t>B005</t>
  </si>
  <si>
    <t>Baby Sensory Bubble Bath (Mandi Busa Sensorik Bayi)</t>
  </si>
  <si>
    <t>B006</t>
  </si>
  <si>
    <t>Tuina Massage Baby (Pijat Tuina)</t>
  </si>
  <si>
    <t>B007</t>
  </si>
  <si>
    <t>B008</t>
  </si>
  <si>
    <t>Cough &amp; Cold Massage Baby(Pijat Batuk &amp; Pilek)</t>
  </si>
  <si>
    <t>B009</t>
  </si>
  <si>
    <t>Constipation Relief Massage Baby (Pijat Konstipasi)</t>
  </si>
  <si>
    <t>B010</t>
  </si>
  <si>
    <t>Baby Ear Piercing (Tindik Telinga Bayi)</t>
  </si>
  <si>
    <t>B011</t>
  </si>
  <si>
    <t>Baby Nail Trimming (Pemotongan Kuku Bayi)</t>
  </si>
  <si>
    <t>B012</t>
  </si>
  <si>
    <t>Newborn Head Shaving (Cukur Gundul Bayi)</t>
  </si>
  <si>
    <t>B013</t>
  </si>
  <si>
    <t>Basic Personal Hygiene (Perawatan Kebersihan Dasar)</t>
  </si>
  <si>
    <t>B014</t>
  </si>
  <si>
    <t>Baby Infrared Therapy (Terapi Infrared Bayi)</t>
  </si>
  <si>
    <t>B015</t>
  </si>
  <si>
    <t>Baby Nebulizer Therapy (Terapi Nebulizer Bayi)</t>
  </si>
  <si>
    <t>B016</t>
  </si>
  <si>
    <t>B017</t>
  </si>
  <si>
    <t>Newborn Starter Pack Without Piercing (Paket Awal Kehidupan)</t>
  </si>
  <si>
    <t>B018</t>
  </si>
  <si>
    <t>Optimal Energy Package (Paket Energi Optimal)</t>
  </si>
  <si>
    <t>B019</t>
  </si>
  <si>
    <t>Touch of Love Package (Paket Sentuh Cinta)</t>
  </si>
  <si>
    <t>B020</t>
  </si>
  <si>
    <t>Clear Breath Premium (Paket Nafas Lega)</t>
  </si>
  <si>
    <t>B021</t>
  </si>
  <si>
    <t>Clear Breath Premium WITHOUT UAP (Paket Nafas Lega Tanpa Uap)</t>
  </si>
  <si>
    <t>B022</t>
  </si>
  <si>
    <t>B023</t>
  </si>
  <si>
    <t>Healthy Breath Package 2x (Paket Nafas Sehat)</t>
  </si>
  <si>
    <t>K001</t>
  </si>
  <si>
    <t>KID</t>
  </si>
  <si>
    <t>Kids Massage (Pijat Anak)</t>
  </si>
  <si>
    <t>K002</t>
  </si>
  <si>
    <t>Kids Body Scrub (Lulur Anak)</t>
  </si>
  <si>
    <t>K004</t>
  </si>
  <si>
    <t>Kid Sensory Bubble Bath (Mandi Busa Sensorik Anak)</t>
  </si>
  <si>
    <t>K003</t>
  </si>
  <si>
    <t>Kids Facial Mask (Masker Muka)</t>
  </si>
  <si>
    <t>K005</t>
  </si>
  <si>
    <t>Tuina Massage Kid(Pijat Tuina)</t>
  </si>
  <si>
    <t>K006</t>
  </si>
  <si>
    <t>Colic Relief Massage Kid(Pijat Kolik)</t>
  </si>
  <si>
    <t>K007</t>
  </si>
  <si>
    <t>Cough &amp; Cold Massage Kid(Pijat Batuk &amp; Pilek)</t>
  </si>
  <si>
    <t>K008</t>
  </si>
  <si>
    <t>Constipation Relief Massage Kid (Pijat Konstipasi)</t>
  </si>
  <si>
    <t>K009</t>
  </si>
  <si>
    <t>Kid Ear Piercing (Tindik Telinga Anak)</t>
  </si>
  <si>
    <t>K010</t>
  </si>
  <si>
    <t>Kid Nail Trimming (Pemotongan Kuku Anak)</t>
  </si>
  <si>
    <t>K011</t>
  </si>
  <si>
    <t>Kid Infrared Therapy (Terapi Infrared Anak)</t>
  </si>
  <si>
    <t>K012</t>
  </si>
  <si>
    <t>Kid Nebulizer Therapy (Terapi Nebulizer Anak)</t>
  </si>
  <si>
    <t>K013</t>
  </si>
  <si>
    <t>Sensory Spa Package (Paket Spa Sensorik)</t>
  </si>
  <si>
    <t>K014</t>
  </si>
  <si>
    <t>Relaxation Duo Package (Paket Duo Relaksasi)</t>
  </si>
  <si>
    <t>K015</t>
  </si>
  <si>
    <t>Clear Air Therapy Package (Paket Terapi Udara Bersih)</t>
  </si>
  <si>
    <t>K016</t>
  </si>
  <si>
    <t>Healthy Breath Package 1x ( Nafas Sehat 1x )</t>
  </si>
  <si>
    <t>K017</t>
  </si>
  <si>
    <t>Healthy Breath Package 2x ( Nafas Sehat 2x )</t>
  </si>
  <si>
    <t>M001</t>
  </si>
  <si>
    <t>MOM</t>
  </si>
  <si>
    <t>Prenatal Wellness Massage (Pijat Prenatal)</t>
  </si>
  <si>
    <t>M002</t>
  </si>
  <si>
    <t>Facial Acupressure &amp; Mask (Totok Wajah &amp; Masker Wajah)</t>
  </si>
  <si>
    <t>M003</t>
  </si>
  <si>
    <t>Foot Spa Therapy (Perawatan Foot Spa)</t>
  </si>
  <si>
    <t>M004</t>
  </si>
  <si>
    <t>Back &amp; Arms Relaxation Massage (Pijat Relaksasi Punggung &amp; Tangan)</t>
  </si>
  <si>
    <t>M005</t>
  </si>
  <si>
    <t>Early Pregnancy Revitalization Package (Perawatan Awal Kehamilan)</t>
  </si>
  <si>
    <t>M006</t>
  </si>
  <si>
    <t>Mid-Pregnancy Wellness Package (Perawatan Tengah Kehamilan)</t>
  </si>
  <si>
    <t>M007</t>
  </si>
  <si>
    <t>Postnatal Recovery Massage (Pijat Pemulihan Pascapersalinan)</t>
  </si>
  <si>
    <t>M008</t>
  </si>
  <si>
    <t>Platinum Recovery Package (Paket Platinum Pascapersalinan)</t>
  </si>
  <si>
    <t>M010</t>
  </si>
  <si>
    <t>Lactation Support Package (Paket Lancar ASI)</t>
  </si>
  <si>
    <t>M011</t>
  </si>
  <si>
    <t>Oxytocin Stimulation Massage (Pijat Oksitosin)</t>
  </si>
  <si>
    <t>M012</t>
  </si>
  <si>
    <t>Basic Breast Care (Breast Care Tanpa Penyulit Laktasi)</t>
  </si>
  <si>
    <t>M013</t>
  </si>
  <si>
    <t>Advanced Breast Care (Breast Care Dengan Penyulit Laktasi)</t>
  </si>
  <si>
    <t>M009</t>
  </si>
  <si>
    <t>HBK001</t>
  </si>
  <si>
    <t>HOMECARE BABY KID</t>
  </si>
  <si>
    <t>Baby Relaxation Massage HC (Pijat Relaksasi Bayi)</t>
  </si>
  <si>
    <t>HBK002</t>
  </si>
  <si>
    <t>Kids Massage HC (Pijat Anak)</t>
  </si>
  <si>
    <t>HBK003</t>
  </si>
  <si>
    <t>Basic Baby Gym HC (Gym Bayi Dasar)</t>
  </si>
  <si>
    <t>HBK006</t>
  </si>
  <si>
    <t>Tuina Massage Baby/Kid HC (Pijat Tuina)</t>
  </si>
  <si>
    <t>HBK007</t>
  </si>
  <si>
    <t>Colic Relief Massage HC (Pijat Kolik)</t>
  </si>
  <si>
    <t>HBK008</t>
  </si>
  <si>
    <t>Cough &amp; Cold Massage HC (Pijat Batuk &amp; Pilek)</t>
  </si>
  <si>
    <t>HBK009</t>
  </si>
  <si>
    <t>Constipation Relief Massage HC (Pijat Konstipasi)</t>
  </si>
  <si>
    <t>HBK010</t>
  </si>
  <si>
    <t>Baby Ear Piercing HC (Tindik Telinga Bayi)</t>
  </si>
  <si>
    <t>HBK011</t>
  </si>
  <si>
    <t>Baby Nail Trimming HC (Pemotongan Kuku Bayi)</t>
  </si>
  <si>
    <t>HBK012</t>
  </si>
  <si>
    <t>Newborn Head Shaving HC (Cukur Gundul Bayi)</t>
  </si>
  <si>
    <t>HBK013</t>
  </si>
  <si>
    <t>Basic Personal Hygiene HC (Perawatan Kebersihan Dasar)</t>
  </si>
  <si>
    <t>HBK004</t>
  </si>
  <si>
    <t>Infrared Therapy HC (Terapi Infrared)</t>
  </si>
  <si>
    <t>HBK005</t>
  </si>
  <si>
    <t>Nebulizer Therapy HC (Terapi Nebulizer)</t>
  </si>
  <si>
    <t>HBK014</t>
  </si>
  <si>
    <t>Newborn Starter Pack With Piercing HC (Paket Awal Kehidupan)</t>
  </si>
  <si>
    <t>HBK015</t>
  </si>
  <si>
    <t>Newborn Starter Pack Without Piercing HC (Paket Awal Kehidupan)</t>
  </si>
  <si>
    <t>HBK016</t>
  </si>
  <si>
    <t>1 Day New Born Pack HC</t>
  </si>
  <si>
    <t>HBK017</t>
  </si>
  <si>
    <t>3 Days New Born Pack HC</t>
  </si>
  <si>
    <t>HBK018</t>
  </si>
  <si>
    <t>7 Days New Born Pack HC</t>
  </si>
  <si>
    <t>HBK019</t>
  </si>
  <si>
    <t>1x Clear Breath Premium (Paket Nafas Lega) HC</t>
  </si>
  <si>
    <t>HBK020</t>
  </si>
  <si>
    <t>2x Clear Breath Premium (Paket Nafas Lega) HC</t>
  </si>
  <si>
    <t>HBK021</t>
  </si>
  <si>
    <t>1x Healthy Breath Package (Paket Nafas Sehat) HC</t>
  </si>
  <si>
    <t>HBK022</t>
  </si>
  <si>
    <t>2x Healthy Breath Package (Paket Nafas Sehat) HC</t>
  </si>
  <si>
    <t>HM001</t>
  </si>
  <si>
    <t>Prenatal Wellness Massage HC (Pijat Prenatal)</t>
  </si>
  <si>
    <t>HM002</t>
  </si>
  <si>
    <t>Facial Acupressure &amp; Mask HC (Totok Wajah &amp; Masker Wajah)</t>
  </si>
  <si>
    <t>HM004</t>
  </si>
  <si>
    <t>Back &amp; Arms Relaxation Massage HC (Pijat Relaksasi Punggung &amp; Tangan)</t>
  </si>
  <si>
    <t>HM003</t>
  </si>
  <si>
    <t>Foot Spa Therapy HC (Perawatan Foot Spa)</t>
  </si>
  <si>
    <t>HM005</t>
  </si>
  <si>
    <t>Early Pregnancy Revitalization Package HC (Perawatan Awal Kehamilan)</t>
  </si>
  <si>
    <t>HM006</t>
  </si>
  <si>
    <t>Mid-Pregnancy Wellness Package HC (Perawatan Tengah Kehamilan)</t>
  </si>
  <si>
    <t>HM007</t>
  </si>
  <si>
    <t>Postnatal Recovery Massage HC (Pijat Pemulihan Pascapersalinan)</t>
  </si>
  <si>
    <t>HM008</t>
  </si>
  <si>
    <t>Platinum Recovery Package HC (Paket Platinum Pascapersalinan)</t>
  </si>
  <si>
    <t>HM010</t>
  </si>
  <si>
    <t>Lactation Support Package HC (Paket Lancar ASI)</t>
  </si>
  <si>
    <t>HM011</t>
  </si>
  <si>
    <t>HM012</t>
  </si>
  <si>
    <t>Basic Breast Care HC (Breast Care Tanpa Penyulit Laktasi)</t>
  </si>
  <si>
    <t>HM013</t>
  </si>
  <si>
    <t>Advanced Breast Care HC (Breast Care Dengan Penyulit Laktasi)</t>
  </si>
  <si>
    <t>HM009</t>
  </si>
  <si>
    <t>HM014</t>
  </si>
  <si>
    <t>1 Day Recovery Mom Package HC</t>
  </si>
  <si>
    <t>HM015</t>
  </si>
  <si>
    <t>3 Days Recovery Mom Package HC</t>
  </si>
  <si>
    <t>HM016</t>
  </si>
  <si>
    <t>7 Days Recovery Mom Package HC</t>
  </si>
  <si>
    <t>specialty</t>
  </si>
  <si>
    <t>homecare_available</t>
  </si>
  <si>
    <t>transport_bonus</t>
  </si>
  <si>
    <t>Update Terapis</t>
  </si>
  <si>
    <t>Update SA</t>
  </si>
  <si>
    <t>S002</t>
  </si>
  <si>
    <t>fkakaka</t>
  </si>
  <si>
    <t>TIDAK</t>
  </si>
  <si>
    <t>area_name</t>
  </si>
  <si>
    <t>distance_label</t>
  </si>
  <si>
    <t>Zona Dekat</t>
  </si>
  <si>
    <t>0-5 KM</t>
  </si>
  <si>
    <t>5-10 KM</t>
  </si>
  <si>
    <t>Zona Jauh</t>
  </si>
  <si>
    <t>&gt;10 KM</t>
  </si>
  <si>
    <t>promo_code</t>
  </si>
  <si>
    <t>promo_name</t>
  </si>
  <si>
    <t>promo_type</t>
  </si>
  <si>
    <t>promo_value</t>
  </si>
  <si>
    <t>start_date</t>
  </si>
  <si>
    <t>end_date</t>
  </si>
  <si>
    <t>Tidak Ada</t>
  </si>
  <si>
    <t>NOMINAL</t>
  </si>
  <si>
    <t>PROMO10</t>
  </si>
  <si>
    <t>Promo 10%</t>
  </si>
  <si>
    <t>PERCENT</t>
  </si>
  <si>
    <t>PROMO20</t>
  </si>
  <si>
    <t>Promo 20%</t>
  </si>
  <si>
    <t>POT25K</t>
  </si>
  <si>
    <t>Potongan 25.000</t>
  </si>
  <si>
    <t>POT50K</t>
  </si>
  <si>
    <t>Potongan 50.000</t>
  </si>
  <si>
    <t>min_visit</t>
  </si>
  <si>
    <t>max_visit</t>
  </si>
  <si>
    <t>Otomatis jika visit_count = 1</t>
  </si>
  <si>
    <t>Repeat</t>
  </si>
  <si>
    <t>Otomatis jika visit_count 2-10</t>
  </si>
  <si>
    <t>VIP</t>
  </si>
  <si>
    <t>Otomatis jika visit_count &gt; 10</t>
  </si>
  <si>
    <t>Tgl</t>
  </si>
  <si>
    <t>Bln</t>
  </si>
  <si>
    <t>LIST_BOOKING_TYPE</t>
  </si>
  <si>
    <t>LIST_STATUS_INPUT</t>
  </si>
  <si>
    <t>LIST_SERVICE</t>
  </si>
  <si>
    <t>LIST_THERAPIST</t>
  </si>
  <si>
    <t>LIST_PAYMENT</t>
  </si>
  <si>
    <t>LIST_AREA</t>
  </si>
  <si>
    <t>LIST_PROMO</t>
  </si>
  <si>
    <t>LIST_TIME</t>
  </si>
  <si>
    <t>LIST_CUSTOMER_TYPE</t>
  </si>
  <si>
    <t>LIST_PAYMENT_STATUS</t>
  </si>
  <si>
    <t>LIST_RECORD_STATUS</t>
  </si>
  <si>
    <t>LIST_BOOKING_STATUS_LOG</t>
  </si>
  <si>
    <t>Tunai</t>
  </si>
  <si>
    <t>08:00</t>
  </si>
  <si>
    <t>Ulya</t>
  </si>
  <si>
    <t>Transfer</t>
  </si>
  <si>
    <t>08:05</t>
  </si>
  <si>
    <t>Salsa</t>
  </si>
  <si>
    <t>QRIS</t>
  </si>
  <si>
    <t>08:10</t>
  </si>
  <si>
    <t>Owner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</si>
  <si>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</si>
  <si>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</si>
  <si>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</si>
  <si>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</si>
  <si>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</si>
  <si>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</si>
  <si>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</si>
  <si>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</si>
  <si>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</si>
  <si>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</si>
  <si>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</si>
  <si>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</si>
  <si>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</si>
  <si>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</si>
  <si>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</si>
  <si>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</si>
  <si>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</si>
  <si>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</si>
  <si>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</si>
  <si>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</si>
  <si>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</si>
  <si>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</si>
  <si>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</si>
  <si>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</si>
  <si>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</si>
  <si>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</si>
  <si>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</si>
  <si>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</si>
  <si>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</si>
  <si>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</si>
  <si>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</si>
  <si>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</si>
  <si>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</si>
  <si>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</si>
  <si>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</si>
  <si>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</si>
  <si>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</si>
  <si>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</si>
  <si>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</si>
  <si>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</si>
  <si>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</si>
  <si>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</si>
  <si>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</si>
  <si>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</si>
  <si>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</si>
  <si>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</si>
  <si>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</si>
  <si>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</si>
  <si>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</si>
  <si>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</si>
  <si>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</si>
  <si>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</si>
  <si>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</si>
  <si>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</si>
  <si>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</si>
  <si>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</si>
  <si>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</si>
  <si>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</si>
  <si>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</si>
  <si>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</si>
  <si>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</si>
  <si>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</si>
  <si>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</si>
  <si>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</si>
  <si>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</si>
  <si>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</si>
  <si>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</si>
  <si>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</si>
  <si>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</si>
  <si>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</si>
  <si>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</si>
  <si>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</si>
  <si>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</si>
  <si>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</si>
  <si>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</si>
  <si>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</si>
  <si>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</si>
  <si>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</si>
  <si>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</si>
  <si>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</si>
  <si>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</si>
  <si>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</si>
  <si>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</si>
  <si>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</si>
  <si>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</si>
  <si>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</si>
  <si>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</si>
  <si>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</si>
  <si>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</si>
  <si>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</si>
  <si>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</si>
  <si>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</si>
  <si>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</si>
  <si>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</si>
  <si>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</si>
  <si>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</si>
  <si>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</si>
  <si>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</si>
  <si>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</si>
  <si>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</si>
  <si>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</si>
  <si>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</si>
  <si>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</si>
  <si>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</si>
  <si>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</si>
  <si>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</si>
  <si>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</si>
  <si>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</si>
  <si>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</si>
  <si>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</si>
  <si>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</si>
  <si>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</si>
  <si>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</si>
  <si>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</si>
  <si>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</si>
  <si>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</si>
  <si>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</si>
  <si>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</si>
  <si>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</si>
  <si>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</si>
  <si>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</si>
  <si>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</si>
  <si>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</si>
  <si>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</si>
  <si>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</si>
  <si>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</si>
  <si>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</si>
  <si>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</si>
  <si>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</si>
  <si>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</si>
  <si>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</si>
  <si>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</si>
  <si>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</si>
  <si>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</si>
  <si>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</si>
  <si>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</si>
  <si>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</si>
  <si>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</si>
  <si>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</si>
  <si>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</si>
  <si>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</si>
  <si>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</si>
  <si>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SETTING SMARTSPADASH PRO</t>
  </si>
  <si>
    <t>setting_key</t>
  </si>
  <si>
    <t>setting_value</t>
  </si>
  <si>
    <t>clinic_name</t>
  </si>
  <si>
    <t>SmartSpaDash Demo</t>
  </si>
  <si>
    <t>Ubah sesuai klinik</t>
  </si>
  <si>
    <t>owner@contoh.com</t>
  </si>
  <si>
    <t>tagline</t>
  </si>
  <si>
    <t>All-in-One Booking System Mom Baby Spa</t>
  </si>
  <si>
    <t>admin@contoh.com</t>
  </si>
  <si>
    <t>theme_name</t>
  </si>
  <si>
    <t>Sage Luxury</t>
  </si>
  <si>
    <t>Soft Rose / Sage Luxury</t>
  </si>
  <si>
    <t>system_mode</t>
  </si>
  <si>
    <t>LIVE</t>
  </si>
  <si>
    <t>LIVE / DEMO</t>
  </si>
  <si>
    <t>opening_hour</t>
  </si>
  <si>
    <t>closing_hour</t>
  </si>
  <si>
    <t>booking_interval</t>
  </si>
  <si>
    <t>5</t>
  </si>
  <si>
    <t>menit</t>
  </si>
  <si>
    <t>default_booking_status</t>
  </si>
  <si>
    <t>Draft</t>
  </si>
  <si>
    <t>transport_0_5</t>
  </si>
  <si>
    <t>transport_5_10</t>
  </si>
  <si>
    <t>transport_gt_10</t>
  </si>
  <si>
    <t>BANTUAN &amp; FAQ</t>
  </si>
  <si>
    <t>Bagaimana input booking?</t>
  </si>
  <si>
    <t>Buka INPUT BOOKING, isi field wajib, lalu gunakan menu SmartSpaDash &gt; Simpan Booking.</t>
  </si>
  <si>
    <t>Bagaimana cek bentrok?</t>
  </si>
  <si>
    <t>Isi tanggal, jam, dan terapis lalu gunakan menu SmartSpaDash &gt; Cek Bentrok.</t>
  </si>
  <si>
    <t>Bagaimana cari pelanggan lama?</t>
  </si>
  <si>
    <t>Isi nomor WA pada INPUT BOOKING lalu gunakan menu SmartSpaDash &gt; Cari Pelanggan.</t>
  </si>
  <si>
    <t>Bagaimana tandai done?</t>
  </si>
  <si>
    <t>Gunakan menu SmartSpaDash &gt; Tandai Selesai (Done).</t>
  </si>
  <si>
    <t>Bagaimana buat invoice?</t>
  </si>
  <si>
    <t>Gunakan menu SmartSpaDash &gt; Buat Invoice dari booking yang tersimpan.</t>
  </si>
  <si>
    <t>timestamp</t>
  </si>
  <si>
    <t>actor_email</t>
  </si>
  <si>
    <t>actor_role</t>
  </si>
  <si>
    <t>action</t>
  </si>
  <si>
    <t>target_sheet</t>
  </si>
  <si>
    <t>target_row</t>
  </si>
  <si>
    <t>old_value</t>
  </si>
  <si>
    <t>new_value</t>
  </si>
  <si>
    <t>details</t>
  </si>
  <si>
    <t>LOGIN_OK</t>
  </si>
  <si>
    <t>Login berhasil.</t>
  </si>
  <si>
    <t>Logout manual.</t>
  </si>
  <si>
    <t>SAVE_BOOKING</t>
  </si>
  <si>
    <t>BK-20260324-001</t>
  </si>
  <si>
    <t>TRANSAKSI_LOG</t>
  </si>
  <si>
    <t>{"booking_status":"Active","payment_status":"Belum Bayar","service_done_status":"PENDING"}</t>
  </si>
  <si>
    <t>Booking baru tersimpan dari INPUT BOOKING.</t>
  </si>
  <si>
    <t>MARK_PAID</t>
  </si>
  <si>
    <t>{"payment_status":"Belum Bayar","remaining_balance":75000}</t>
  </si>
  <si>
    <t>{"payment_status":"Lunas","remaining_balance":0}</t>
  </si>
  <si>
    <t>Pelunasan manual berbasis kode booking.</t>
  </si>
  <si>
    <t>MARK_SESSION_DONE</t>
  </si>
  <si>
    <t>{"booking_status":"Active","service_done_status":"Pending","payment_status":"Lunas"}</t>
  </si>
  <si>
    <t>{"booking_status":"Done","service_done_status":"DONE","payment_status":"Lunas"}</t>
  </si>
  <si>
    <t>Sesi selesai diproses berbasis kode booking.</t>
  </si>
  <si>
    <t>BK-20260324-002</t>
  </si>
  <si>
    <t>BK-20260324-003</t>
  </si>
  <si>
    <t>{"booking_status":"Active","service_done_status":"PENDING","payment_status":"Belum Bayar"}</t>
  </si>
  <si>
    <t>{"booking_status":"Done","service_done_status":"DONE","payment_status":"Belum Bayar"}</t>
  </si>
  <si>
    <t>{"payment_status":"Belum Bayar","remaining_balance":85000}</t>
  </si>
  <si>
    <t>CRM_FAVORITE_REFRESH</t>
  </si>
  <si>
    <t>CRM PELANGGAN</t>
  </si>
  <si>
    <t>favorite_service dihitung ulang dari layanan tersering.</t>
  </si>
  <si>
    <t>{"payment_status":"Belum Bayar","remaining_balance":90000}</t>
  </si>
  <si>
    <t>{"booking_status":"Active","service_done_status":"PENDING","payment_status":"Lunas"}</t>
  </si>
  <si>
    <t>{"payment_status":"Belum Bayar","remaining_balance":150000}</t>
  </si>
  <si>
    <t>Pelunasan manual berbasis hasil pencarian booking.</t>
  </si>
  <si>
    <t>Sesi selesai diproses berbasis hasil pencarian booking.</t>
  </si>
  <si>
    <t>{"payment_status":"Belum Bayar","remaining_balance":60000}</t>
  </si>
  <si>
    <t>REVERT_STATUS</t>
  </si>
  <si>
    <t>{"payment_status":"Lunas","booking_status":"Done","service_done_status":"DONE","remaining_balance":0}</t>
  </si>
  <si>
    <t>{"payment_status":"Belum Bayar","booking_status":"Active","service_done_status":"PENDING","remaining_balance":60000}</t>
  </si>
  <si>
    <t>Status booking dikembalikan dari hasil pencarian K6:K17.</t>
  </si>
  <si>
    <t>Rank</t>
  </si>
  <si>
    <t>Periode</t>
  </si>
  <si>
    <t>Booking Closed</t>
  </si>
  <si>
    <t>Jenis</t>
  </si>
  <si>
    <t>Jumlah</t>
  </si>
  <si>
    <t>Year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</si>
</sst>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hh:mm"/>
    <numFmt numFmtId="165" formatCode="dd/mm/yyyy\ h:mm:ss"/>
    <numFmt numFmtId="166" formatCode="hh:mm:ss"/>
    <numFmt numFmtId="167" formatCode="yyyy\-mm\-dd\ h:mm:ss"/>
    <numFmt numFmtId="168" formatCode="yyyy-MM-dd HH:mm:ss"/>
    <numFmt numFmtId="169" formatCode="HH:mm:ss"/>
    <numFmt numFmtId="170" formatCode="dd/mm/yyyy\ hh:mm:ss"/>
    <numFmt numFmtId="171" formatCode="dd/mm/yyyy"/>
    <numFmt numFmtId="172" formatCode="dd/mm/yyyy\ hh:mm"/>
    <numFmt numFmtId="173" formatCode="m\-d\-yyyy"/>
    <numFmt numFmtId="174" formatCode="yyyy\-mm\-dd\ hh:mm:ss"/>
    <numFmt numFmtId="175" formatCode="yyyy-mm"/>
    <numFmt numFmtId="176" formatCode="dd/mm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8.0"/>
      <color rgb="FF5A4636"/>
      <name val="Calibri"/>
      <scheme val="minor"/>
    </font>
    <font/>
    <font>
      <b/>
      <sz val="9.0"/>
      <color rgb="FF5A4636"/>
      <name val="Calibri"/>
      <scheme val="minor"/>
    </font>
    <font>
      <color theme="1"/>
      <name val="Calibri"/>
      <scheme val="minor"/>
    </font>
    <font>
      <b/>
      <sz val="14.0"/>
      <color rgb="FF1F2937"/>
      <name val="Calibri"/>
    </font>
    <font>
      <b/>
      <sz val="11.0"/>
      <color theme="1"/>
      <name val="Calibri"/>
    </font>
    <font>
      <b/>
      <sz val="18.0"/>
      <color rgb="FFFFFFFF"/>
      <name val="Calibri"/>
    </font>
    <font>
      <b/>
      <sz val="11.0"/>
      <color rgb="FFFFFFFF"/>
      <name val="Calibri"/>
    </font>
    <font>
      <b/>
      <sz val="11.0"/>
      <color rgb="FF1F2937"/>
      <name val="Calibri"/>
    </font>
    <font>
      <sz val="11.0"/>
      <color rgb="FF1F2937"/>
      <name val="Calibri"/>
    </font>
    <font>
      <b/>
      <color rgb="FF1F2937"/>
      <name val="Calibri"/>
    </font>
    <font>
      <b/>
      <color rgb="FF7C3AED"/>
      <name val="Calibri"/>
    </font>
    <font>
      <b/>
      <color rgb="FFFFFFFF"/>
      <name val="Calibri"/>
    </font>
    <font>
      <b/>
      <sz val="18.0"/>
      <color rgb="FF1F2937"/>
      <name val="Calibri"/>
    </font>
    <font>
      <b/>
      <sz val="16.0"/>
      <color rgb="FF1F2937"/>
      <name val="Calibri"/>
    </font>
    <font>
      <b/>
      <color theme="1"/>
      <name val="Calibri"/>
    </font>
    <font>
      <i/>
      <color rgb="FF64748B"/>
      <name val="Calibri"/>
    </font>
    <font>
      <b/>
      <i/>
      <sz val="9.0"/>
      <color theme="1"/>
      <name val="Calibri"/>
    </font>
    <font>
      <b/>
      <sz val="13.0"/>
      <color rgb="FFFFFFFF"/>
      <name val="Calibri"/>
    </font>
    <font>
      <b/>
      <sz val="13.0"/>
      <color rgb="FF0F766E"/>
      <name val="Calibri"/>
    </font>
    <font>
      <b/>
      <sz val="10.0"/>
      <color rgb="FF8A3B34"/>
      <name val="Calibri"/>
      <scheme val="minor"/>
    </font>
    <font>
      <b/>
      <i/>
      <sz val="11.0"/>
      <color theme="1"/>
      <name val="Calibri"/>
    </font>
    <font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EADFD8"/>
        <bgColor rgb="FFEADFD8"/>
      </patternFill>
    </fill>
    <fill>
      <patternFill patternType="solid">
        <fgColor rgb="FFD4BBAA"/>
        <bgColor rgb="FFD4BBAA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0F766E"/>
        <bgColor rgb="FF0F766E"/>
      </patternFill>
    </fill>
    <fill>
      <patternFill patternType="solid">
        <fgColor rgb="FF17324D"/>
        <bgColor rgb="FF17324D"/>
      </patternFill>
    </fill>
    <fill>
      <patternFill patternType="solid">
        <fgColor rgb="FFF7F1E8"/>
        <bgColor rgb="FFF7F1E8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solid">
        <fgColor rgb="FF334155"/>
        <bgColor rgb="FF334155"/>
      </patternFill>
    </fill>
    <fill>
      <patternFill patternType="solid">
        <fgColor rgb="FFEAF2FF"/>
        <bgColor rgb="FFEAF2FF"/>
      </patternFill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79A3B"/>
        <bgColor rgb="FFC79A3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2D7D5"/>
        <bgColor rgb="FFF2D7D5"/>
      </patternFill>
    </fill>
    <fill>
      <patternFill patternType="solid">
        <fgColor rgb="FFFFFF00"/>
        <bgColor rgb="FFFFFF00"/>
      </patternFill>
    </fill>
  </fills>
  <borders count="40">
    <border/>
    <border>
      <left style="thin">
        <color rgb="FFC8B6A6"/>
      </left>
      <right style="thin">
        <color rgb="FFC8B6A6"/>
      </right>
      <top style="thin">
        <color rgb="FFC8B6A6"/>
      </top>
      <bottom style="thin">
        <color rgb="FFC8B6A6"/>
      </bottom>
    </border>
    <border>
      <left style="thin">
        <color rgb="FFC8B6A6"/>
      </left>
      <top style="thin">
        <color rgb="FFC8B6A6"/>
      </top>
    </border>
    <border>
      <right style="thin">
        <color rgb="FFC8B6A6"/>
      </right>
      <top style="thin">
        <color rgb="FFC8B6A6"/>
      </top>
    </border>
    <border>
      <right style="thin">
        <color rgb="FFD1D5DB"/>
      </right>
      <bottom style="thin">
        <color rgb="FFC8B6A6"/>
      </bottom>
    </border>
    <border>
      <left style="thin">
        <color rgb="FFC8B6A6"/>
      </left>
      <bottom style="thin">
        <color rgb="FFC8B6A6"/>
      </bottom>
    </border>
    <border>
      <right style="thin">
        <color rgb="FFC8B6A6"/>
      </right>
      <bottom style="thin">
        <color rgb="FFC8B6A6"/>
      </bottom>
    </border>
    <border>
      <left/>
      <right/>
      <top/>
      <bottom/>
    </border>
    <border>
      <left style="thin">
        <color rgb="FF888888"/>
      </left>
      <top style="thin">
        <color rgb="FF888888"/>
      </top>
    </border>
    <border>
      <right/>
      <top style="thin">
        <color rgb="FF888888"/>
      </top>
    </border>
    <border>
      <left style="thin">
        <color rgb="FF888888"/>
      </left>
      <bottom style="thin">
        <color rgb="FF888888"/>
      </bottom>
    </border>
    <border>
      <right/>
      <bottom style="thin">
        <color rgb="FF888888"/>
      </bottom>
    </border>
    <border>
      <left/>
      <top style="thin">
        <color rgb="FF888888"/>
      </top>
    </border>
    <border>
      <left/>
      <bottom style="thin">
        <color rgb="FF888888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right style="thin">
        <color rgb="FFD1D5DB"/>
      </right>
    </border>
    <border>
      <bottom style="thin">
        <color rgb="FFC8B6A6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top/>
      <bottom/>
    </border>
    <border>
      <top/>
      <bottom/>
    </border>
    <border>
      <right/>
      <top/>
      <bottom/>
    </border>
    <border>
      <left style="thin">
        <color rgb="FF888888"/>
      </left>
      <right/>
      <top style="thin">
        <color rgb="FF888888"/>
      </top>
      <bottom style="thin">
        <color rgb="FF888888"/>
      </bottom>
    </border>
    <border>
      <left/>
      <right/>
      <top style="thin">
        <color rgb="FF888888"/>
      </top>
      <bottom style="thin">
        <color rgb="FF888888"/>
      </bottom>
    </border>
    <border>
      <left/>
      <right/>
      <top/>
    </border>
    <border>
      <left/>
      <right/>
      <bottom/>
    </border>
    <border>
      <left/>
      <right style="thin">
        <color rgb="FF888888"/>
      </right>
      <top style="thin">
        <color rgb="FF888888"/>
      </top>
      <bottom style="thin">
        <color rgb="FF888888"/>
      </bottom>
    </border>
    <border>
      <left/>
      <top/>
    </border>
    <border>
      <right/>
      <top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Border="1" applyFont="1"/>
    <xf borderId="6" fillId="0" fontId="3" numFmtId="0" xfId="0" applyBorder="1" applyFont="1"/>
    <xf borderId="7" fillId="4" fontId="1" numFmtId="0" xfId="0" applyBorder="1" applyFill="1" applyFont="1"/>
    <xf borderId="7" fillId="4" fontId="6" numFmtId="0" xfId="0" applyAlignment="1" applyBorder="1" applyFont="1">
      <alignment horizontal="left" vertical="center"/>
    </xf>
    <xf borderId="0" fillId="0" fontId="1" numFmtId="0" xfId="0" applyAlignment="1" applyFont="1">
      <alignment horizontal="right"/>
    </xf>
    <xf borderId="7" fillId="5" fontId="1" numFmtId="0" xfId="0" applyAlignment="1" applyBorder="1" applyFill="1" applyFont="1">
      <alignment horizontal="left"/>
    </xf>
    <xf borderId="7" fillId="5" fontId="1" numFmtId="0" xfId="0" applyBorder="1" applyFont="1"/>
    <xf borderId="8" fillId="5" fontId="7" numFmtId="0" xfId="0" applyAlignment="1" applyBorder="1" applyFont="1">
      <alignment horizontal="center" vertical="center"/>
    </xf>
    <xf borderId="9" fillId="0" fontId="3" numFmtId="0" xfId="0" applyBorder="1" applyFont="1"/>
    <xf borderId="0" fillId="0" fontId="1" numFmtId="0" xfId="0" applyAlignment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7" fillId="6" fontId="7" numFmtId="0" xfId="0" applyAlignment="1" applyBorder="1" applyFill="1" applyFont="1">
      <alignment horizontal="right"/>
    </xf>
    <xf borderId="7" fillId="6" fontId="7" numFmtId="0" xfId="0" applyAlignment="1" applyBorder="1" applyFont="1">
      <alignment horizontal="left" readingOrder="0"/>
    </xf>
    <xf borderId="7" fillId="6" fontId="7" numFmtId="0" xfId="0" applyBorder="1" applyFont="1"/>
    <xf borderId="7" fillId="6" fontId="7" numFmtId="0" xfId="0" applyAlignment="1" applyBorder="1" applyFont="1">
      <alignment readingOrder="0"/>
    </xf>
    <xf borderId="12" fillId="7" fontId="7" numFmtId="0" xfId="0" applyAlignment="1" applyBorder="1" applyFill="1" applyFont="1">
      <alignment horizontal="center" vertical="center"/>
    </xf>
    <xf borderId="7" fillId="6" fontId="7" numFmtId="14" xfId="0" applyAlignment="1" applyBorder="1" applyFont="1" applyNumberFormat="1">
      <alignment horizontal="left" readingOrder="0"/>
    </xf>
    <xf borderId="13" fillId="0" fontId="3" numFmtId="0" xfId="0" applyBorder="1" applyFont="1"/>
    <xf borderId="14" fillId="8" fontId="8" numFmtId="0" xfId="0" applyAlignment="1" applyBorder="1" applyFill="1" applyFont="1">
      <alignment horizontal="left" readingOrder="0" vertical="center"/>
    </xf>
    <xf borderId="15" fillId="0" fontId="3" numFmtId="0" xfId="0" applyBorder="1" applyFont="1"/>
    <xf borderId="16" fillId="9" fontId="9" numFmtId="0" xfId="0" applyAlignment="1" applyBorder="1" applyFill="1" applyFont="1">
      <alignment horizontal="left" vertical="center"/>
    </xf>
    <xf borderId="16" fillId="10" fontId="10" numFmtId="0" xfId="0" applyAlignment="1" applyBorder="1" applyFill="1" applyFont="1">
      <alignment horizontal="center" vertical="center"/>
    </xf>
    <xf borderId="16" fillId="0" fontId="11" numFmtId="0" xfId="0" applyAlignment="1" applyBorder="1" applyFont="1">
      <alignment horizontal="left" readingOrder="0" shrinkToFit="0" vertical="center" wrapText="1"/>
    </xf>
    <xf borderId="16" fillId="0" fontId="11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17" fillId="0" fontId="3" numFmtId="0" xfId="0" applyBorder="1" applyFont="1"/>
    <xf borderId="18" fillId="0" fontId="3" numFmtId="0" xfId="0" applyBorder="1" applyFont="1"/>
    <xf borderId="4" fillId="0" fontId="3" numFmtId="0" xfId="0" applyBorder="1" applyFont="1"/>
    <xf borderId="19" fillId="11" fontId="12" numFmtId="0" xfId="0" applyAlignment="1" applyBorder="1" applyFill="1" applyFont="1">
      <alignment horizontal="center" vertical="center"/>
    </xf>
    <xf borderId="19" fillId="12" fontId="13" numFmtId="0" xfId="0" applyAlignment="1" applyBorder="1" applyFill="1" applyFont="1">
      <alignment horizontal="center"/>
    </xf>
    <xf borderId="19" fillId="12" fontId="13" numFmtId="0" xfId="0" applyAlignment="1" applyBorder="1" applyFont="1">
      <alignment horizontal="center" readingOrder="0"/>
    </xf>
    <xf borderId="0" fillId="8" fontId="14" numFmtId="0" xfId="0" applyAlignment="1" applyFont="1">
      <alignment horizontal="center" vertical="center"/>
    </xf>
    <xf borderId="14" fillId="13" fontId="14" numFmtId="0" xfId="0" applyAlignment="1" applyBorder="1" applyFill="1" applyFont="1">
      <alignment horizontal="center" vertical="center"/>
    </xf>
    <xf borderId="20" fillId="0" fontId="3" numFmtId="0" xfId="0" applyBorder="1" applyFont="1"/>
    <xf borderId="16" fillId="9" fontId="9" numFmtId="0" xfId="0" applyAlignment="1" applyBorder="1" applyFont="1">
      <alignment horizontal="center" vertical="center"/>
    </xf>
    <xf borderId="21" fillId="12" fontId="15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1" fillId="12" fontId="15" numFmtId="3" xfId="0" applyAlignment="1" applyBorder="1" applyFont="1" applyNumberFormat="1">
      <alignment horizontal="center" shrinkToFit="0" vertical="center" wrapText="1"/>
    </xf>
    <xf borderId="16" fillId="14" fontId="16" numFmtId="0" xfId="0" applyAlignment="1" applyBorder="1" applyFill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4" fillId="15" fontId="14" numFmtId="0" xfId="0" applyAlignment="1" applyBorder="1" applyFill="1" applyFont="1">
      <alignment horizontal="center"/>
    </xf>
    <xf borderId="16" fillId="16" fontId="9" numFmtId="0" xfId="0" applyAlignment="1" applyBorder="1" applyFill="1" applyFont="1">
      <alignment horizontal="left" vertical="center"/>
    </xf>
    <xf borderId="0" fillId="16" fontId="1" numFmtId="0" xfId="0" applyFont="1"/>
    <xf borderId="19" fillId="11" fontId="17" numFmtId="0" xfId="0" applyAlignment="1" applyBorder="1" applyFont="1">
      <alignment horizontal="center"/>
    </xf>
    <xf borderId="19" fillId="12" fontId="10" numFmtId="0" xfId="0" applyAlignment="1" applyBorder="1" applyFont="1">
      <alignment horizontal="center"/>
    </xf>
    <xf borderId="19" fillId="11" fontId="12" numFmtId="0" xfId="0" applyAlignment="1" applyBorder="1" applyFont="1">
      <alignment horizontal="center"/>
    </xf>
    <xf borderId="0" fillId="4" fontId="11" numFmtId="0" xfId="0" applyAlignment="1" applyFont="1">
      <alignment horizontal="left" vertical="center"/>
    </xf>
    <xf borderId="20" fillId="16" fontId="11" numFmtId="0" xfId="0" applyAlignment="1" applyBorder="1" applyFont="1">
      <alignment horizontal="left" vertical="center"/>
    </xf>
    <xf borderId="15" fillId="16" fontId="11" numFmtId="0" xfId="0" applyAlignment="1" applyBorder="1" applyFont="1">
      <alignment horizontal="left" vertical="center"/>
    </xf>
    <xf borderId="19" fillId="12" fontId="11" numFmtId="0" xfId="0" applyAlignment="1" applyBorder="1" applyFont="1">
      <alignment horizontal="center"/>
    </xf>
    <xf borderId="19" fillId="16" fontId="11" numFmtId="0" xfId="0" applyAlignment="1" applyBorder="1" applyFont="1">
      <alignment horizontal="center" shrinkToFit="0" vertical="center" wrapText="1"/>
    </xf>
    <xf borderId="19" fillId="16" fontId="11" numFmtId="0" xfId="0" applyAlignment="1" applyBorder="1" applyFont="1">
      <alignment horizontal="left" shrinkToFit="0" vertical="center" wrapText="1"/>
    </xf>
    <xf borderId="19" fillId="16" fontId="11" numFmtId="1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horizontal="left" vertical="center"/>
    </xf>
    <xf borderId="19" fillId="16" fontId="1" numFmtId="1" xfId="0" applyAlignment="1" applyBorder="1" applyFont="1" applyNumberFormat="1">
      <alignment horizontal="center" shrinkToFit="0" vertical="center" wrapText="1"/>
    </xf>
    <xf borderId="0" fillId="15" fontId="14" numFmtId="0" xfId="0" applyAlignment="1" applyFont="1">
      <alignment horizontal="center"/>
    </xf>
    <xf borderId="0" fillId="0" fontId="18" numFmtId="0" xfId="0" applyFont="1"/>
    <xf borderId="7" fillId="17" fontId="19" numFmtId="0" xfId="0" applyAlignment="1" applyBorder="1" applyFill="1" applyFont="1">
      <alignment horizontal="center"/>
    </xf>
    <xf borderId="16" fillId="8" fontId="20" numFmtId="0" xfId="0" applyAlignment="1" applyBorder="1" applyFont="1">
      <alignment horizontal="left" vertical="center"/>
    </xf>
    <xf borderId="0" fillId="0" fontId="1" numFmtId="0" xfId="0" applyAlignment="1" applyFont="1">
      <alignment readingOrder="0"/>
    </xf>
    <xf borderId="16" fillId="18" fontId="20" numFmtId="0" xfId="0" applyAlignment="1" applyBorder="1" applyFill="1" applyFont="1">
      <alignment horizontal="left" vertical="center"/>
    </xf>
    <xf borderId="16" fillId="10" fontId="10" numFmtId="0" xfId="0" applyAlignment="1" applyBorder="1" applyFont="1">
      <alignment horizontal="left" vertical="center"/>
    </xf>
    <xf borderId="16" fillId="19" fontId="11" numFmtId="0" xfId="0" applyAlignment="1" applyBorder="1" applyFill="1" applyFont="1">
      <alignment horizontal="left" vertical="center"/>
    </xf>
    <xf borderId="16" fillId="14" fontId="10" numFmtId="0" xfId="0" applyAlignment="1" applyBorder="1" applyFont="1">
      <alignment horizontal="left" vertical="center"/>
    </xf>
    <xf borderId="16" fillId="19" fontId="11" numFmtId="49" xfId="0" applyAlignment="1" applyBorder="1" applyFont="1" applyNumberFormat="1">
      <alignment horizontal="left" readingOrder="0" vertical="center"/>
    </xf>
    <xf borderId="16" fillId="19" fontId="11" numFmtId="49" xfId="0" applyAlignment="1" applyBorder="1" applyFont="1" applyNumberFormat="1">
      <alignment horizontal="left" readingOrder="0" vertical="center"/>
    </xf>
    <xf borderId="16" fillId="19" fontId="11" numFmtId="0" xfId="0" applyAlignment="1" applyBorder="1" applyFont="1">
      <alignment horizontal="left" readingOrder="0" vertical="center"/>
    </xf>
    <xf borderId="16" fillId="20" fontId="11" numFmtId="0" xfId="0" applyAlignment="1" applyBorder="1" applyFill="1" applyFont="1">
      <alignment horizontal="left" vertical="center"/>
    </xf>
    <xf borderId="16" fillId="20" fontId="11" numFmtId="0" xfId="0" applyAlignment="1" applyBorder="1" applyFont="1">
      <alignment horizontal="left" readingOrder="0" vertical="center"/>
    </xf>
    <xf borderId="16" fillId="20" fontId="11" numFmtId="0" xfId="0" applyAlignment="1" applyBorder="1" applyFont="1">
      <alignment horizontal="left" readingOrder="0" vertical="center"/>
    </xf>
    <xf borderId="16" fillId="19" fontId="11" numFmtId="164" xfId="0" applyAlignment="1" applyBorder="1" applyFont="1" applyNumberFormat="1">
      <alignment horizontal="left" readingOrder="0" vertical="center"/>
    </xf>
    <xf borderId="16" fillId="20" fontId="11" numFmtId="3" xfId="0" applyAlignment="1" applyBorder="1" applyFont="1" applyNumberFormat="1">
      <alignment horizontal="left" vertical="center"/>
    </xf>
    <xf borderId="16" fillId="20" fontId="11" numFmtId="3" xfId="0" applyAlignment="1" applyBorder="1" applyFont="1" applyNumberFormat="1">
      <alignment horizontal="left" readingOrder="0" vertical="center"/>
    </xf>
    <xf borderId="14" fillId="19" fontId="11" numFmtId="0" xfId="0" applyAlignment="1" applyBorder="1" applyFont="1">
      <alignment horizontal="left" readingOrder="0" vertical="center"/>
    </xf>
    <xf borderId="16" fillId="20" fontId="21" numFmtId="3" xfId="0" applyAlignment="1" applyBorder="1" applyFont="1" applyNumberFormat="1">
      <alignment horizontal="left" vertical="center"/>
    </xf>
    <xf borderId="16" fillId="20" fontId="21" numFmtId="3" xfId="0" applyAlignment="1" applyBorder="1" applyFont="1" applyNumberFormat="1">
      <alignment horizontal="left" readingOrder="0" vertical="center"/>
    </xf>
    <xf borderId="14" fillId="19" fontId="11" numFmtId="0" xfId="0" applyAlignment="1" applyBorder="1" applyFont="1">
      <alignment horizontal="left" vertical="center"/>
    </xf>
    <xf borderId="16" fillId="19" fontId="11" numFmtId="3" xfId="0" applyAlignment="1" applyBorder="1" applyFont="1" applyNumberFormat="1">
      <alignment horizontal="left" vertical="center"/>
    </xf>
    <xf borderId="28" fillId="8" fontId="20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5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vertical="center"/>
    </xf>
    <xf borderId="32" fillId="7" fontId="7" numFmtId="0" xfId="0" applyAlignment="1" applyBorder="1" applyFont="1">
      <alignment horizontal="center" vertical="center"/>
    </xf>
    <xf borderId="7" fillId="16" fontId="7" numFmtId="0" xfId="0" applyAlignment="1" applyBorder="1" applyFont="1">
      <alignment horizontal="center" vertical="center"/>
    </xf>
    <xf borderId="33" fillId="10" fontId="10" numFmtId="0" xfId="0" applyAlignment="1" applyBorder="1" applyFont="1">
      <alignment horizontal="center" vertical="center"/>
    </xf>
    <xf borderId="33" fillId="10" fontId="10" numFmtId="0" xfId="0" applyAlignment="1" applyBorder="1" applyFont="1">
      <alignment horizontal="center" shrinkToFit="0" vertical="center" wrapText="1"/>
    </xf>
    <xf borderId="7" fillId="16" fontId="1" numFmtId="0" xfId="0" applyBorder="1" applyFont="1"/>
    <xf borderId="34" fillId="0" fontId="3" numFmtId="0" xfId="0" applyBorder="1" applyFont="1"/>
    <xf borderId="31" fillId="21" fontId="7" numFmtId="0" xfId="0" applyAlignment="1" applyBorder="1" applyFill="1" applyFont="1">
      <alignment horizontal="center" vertical="center"/>
    </xf>
    <xf borderId="32" fillId="22" fontId="7" numFmtId="0" xfId="0" applyAlignment="1" applyBorder="1" applyFill="1" applyFont="1">
      <alignment horizontal="center" vertical="center"/>
    </xf>
    <xf borderId="1" fillId="23" fontId="22" numFmtId="0" xfId="0" applyAlignment="1" applyBorder="1" applyFill="1" applyFont="1">
      <alignment horizontal="center" readingOrder="0" shrinkToFit="0" vertical="center" wrapText="1"/>
    </xf>
    <xf borderId="35" fillId="7" fontId="7" numFmtId="0" xfId="0" applyAlignment="1" applyBorder="1" applyFont="1">
      <alignment horizontal="center" vertical="center"/>
    </xf>
    <xf borderId="7" fillId="4" fontId="9" numFmtId="0" xfId="0" applyAlignment="1" applyBorder="1" applyFont="1">
      <alignment horizontal="left" vertical="center"/>
    </xf>
    <xf borderId="7" fillId="4" fontId="10" numFmtId="0" xfId="0" applyAlignment="1" applyBorder="1" applyFont="1">
      <alignment horizontal="left" vertical="center"/>
    </xf>
    <xf borderId="16" fillId="18" fontId="9" numFmtId="0" xfId="0" applyAlignment="1" applyBorder="1" applyFont="1">
      <alignment horizontal="left" vertical="center"/>
    </xf>
    <xf borderId="16" fillId="16" fontId="10" numFmtId="0" xfId="0" applyAlignment="1" applyBorder="1" applyFont="1">
      <alignment horizontal="left" vertical="center"/>
    </xf>
    <xf borderId="16" fillId="16" fontId="10" numFmtId="0" xfId="0" applyAlignment="1" applyBorder="1" applyFont="1">
      <alignment horizontal="left" readingOrder="0" vertical="center"/>
    </xf>
    <xf borderId="7" fillId="17" fontId="23" numFmtId="0" xfId="0" applyAlignment="1" applyBorder="1" applyFont="1">
      <alignment horizontal="center"/>
    </xf>
    <xf borderId="16" fillId="0" fontId="11" numFmtId="165" xfId="0" applyAlignment="1" applyBorder="1" applyFont="1" applyNumberFormat="1">
      <alignment horizontal="left" vertical="center"/>
    </xf>
    <xf borderId="16" fillId="10" fontId="10" numFmtId="166" xfId="0" applyAlignment="1" applyBorder="1" applyFont="1" applyNumberFormat="1">
      <alignment horizontal="left" vertical="center"/>
    </xf>
    <xf borderId="14" fillId="0" fontId="11" numFmtId="0" xfId="0" applyAlignment="1" applyBorder="1" applyFont="1">
      <alignment horizontal="left" vertical="center"/>
    </xf>
    <xf borderId="14" fillId="0" fontId="11" numFmtId="14" xfId="0" applyAlignment="1" applyBorder="1" applyFont="1" applyNumberFormat="1">
      <alignment horizontal="left" vertical="center"/>
    </xf>
    <xf borderId="14" fillId="0" fontId="11" numFmtId="3" xfId="0" applyAlignment="1" applyBorder="1" applyFont="1" applyNumberFormat="1">
      <alignment horizontal="left" vertical="center"/>
    </xf>
    <xf borderId="16" fillId="0" fontId="11" numFmtId="49" xfId="0" applyAlignment="1" applyBorder="1" applyFont="1" applyNumberFormat="1">
      <alignment horizontal="left" vertical="center"/>
    </xf>
    <xf borderId="16" fillId="0" fontId="11" numFmtId="1" xfId="0" applyAlignment="1" applyBorder="1" applyFont="1" applyNumberFormat="1">
      <alignment horizontal="left" vertical="center"/>
    </xf>
    <xf borderId="16" fillId="0" fontId="11" numFmtId="3" xfId="0" applyAlignment="1" applyBorder="1" applyFont="1" applyNumberFormat="1">
      <alignment horizontal="left" vertical="center"/>
    </xf>
    <xf borderId="16" fillId="0" fontId="11" numFmtId="49" xfId="0" applyAlignment="1" applyBorder="1" applyFont="1" applyNumberFormat="1">
      <alignment horizontal="left" readingOrder="0" vertical="center"/>
    </xf>
    <xf borderId="16" fillId="0" fontId="11" numFmtId="0" xfId="0" applyAlignment="1" applyBorder="1" applyFont="1">
      <alignment horizontal="left" readingOrder="0" vertical="center"/>
    </xf>
    <xf borderId="16" fillId="0" fontId="11" numFmtId="1" xfId="0" applyAlignment="1" applyBorder="1" applyFont="1" applyNumberFormat="1">
      <alignment horizontal="left" readingOrder="0" vertical="center"/>
    </xf>
    <xf borderId="16" fillId="0" fontId="11" numFmtId="3" xfId="0" applyAlignment="1" applyBorder="1" applyFont="1" applyNumberFormat="1">
      <alignment horizontal="left" readingOrder="0" vertical="center"/>
    </xf>
    <xf borderId="16" fillId="0" fontId="11" numFmtId="49" xfId="0" applyAlignment="1" applyBorder="1" applyFont="1" applyNumberFormat="1">
      <alignment horizontal="left" readingOrder="0" vertical="center"/>
    </xf>
    <xf borderId="16" fillId="0" fontId="11" numFmtId="167" xfId="0" applyAlignment="1" applyBorder="1" applyFont="1" applyNumberFormat="1">
      <alignment horizontal="left" vertical="center"/>
    </xf>
    <xf borderId="16" fillId="9" fontId="9" numFmtId="3" xfId="0" applyAlignment="1" applyBorder="1" applyFont="1" applyNumberFormat="1">
      <alignment horizontal="left" vertical="center"/>
    </xf>
    <xf borderId="7" fillId="9" fontId="9" numFmtId="0" xfId="0" applyAlignment="1" applyBorder="1" applyFont="1">
      <alignment horizontal="left" vertical="center"/>
    </xf>
    <xf borderId="16" fillId="0" fontId="11" numFmtId="168" xfId="0" applyAlignment="1" applyBorder="1" applyFont="1" applyNumberFormat="1">
      <alignment horizontal="left" vertical="center"/>
    </xf>
    <xf borderId="16" fillId="0" fontId="11" numFmtId="169" xfId="0" applyAlignment="1" applyBorder="1" applyFont="1" applyNumberFormat="1">
      <alignment horizontal="left" vertical="center"/>
    </xf>
    <xf borderId="0" fillId="0" fontId="11" numFmtId="0" xfId="0" applyAlignment="1" applyFont="1">
      <alignment horizontal="left" vertical="center"/>
    </xf>
    <xf borderId="16" fillId="0" fontId="11" numFmtId="168" xfId="0" applyAlignment="1" applyBorder="1" applyFont="1" applyNumberFormat="1">
      <alignment horizontal="left" readingOrder="0" vertical="center"/>
    </xf>
    <xf borderId="16" fillId="0" fontId="11" numFmtId="169" xfId="0" applyAlignment="1" applyBorder="1" applyFont="1" applyNumberFormat="1">
      <alignment horizontal="left" readingOrder="0" vertical="center"/>
    </xf>
    <xf borderId="16" fillId="0" fontId="11" numFmtId="0" xfId="0" applyAlignment="1" applyBorder="1" applyFont="1">
      <alignment horizontal="left" readingOrder="0" vertical="center"/>
    </xf>
    <xf borderId="16" fillId="0" fontId="11" numFmtId="170" xfId="0" applyAlignment="1" applyBorder="1" applyFont="1" applyNumberFormat="1">
      <alignment horizontal="left" vertical="center"/>
    </xf>
    <xf borderId="16" fillId="0" fontId="11" numFmtId="171" xfId="0" applyAlignment="1" applyBorder="1" applyFont="1" applyNumberFormat="1">
      <alignment horizontal="left" vertical="center"/>
    </xf>
    <xf borderId="16" fillId="0" fontId="11" numFmtId="166" xfId="0" applyAlignment="1" applyBorder="1" applyFont="1" applyNumberFormat="1">
      <alignment horizontal="left" vertical="center"/>
    </xf>
    <xf borderId="0" fillId="0" fontId="1" numFmtId="170" xfId="0" applyFont="1" applyNumberFormat="1"/>
    <xf borderId="0" fillId="0" fontId="1" numFmtId="171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1" numFmtId="3" xfId="0" applyAlignment="1" applyFont="1" applyNumberFormat="1">
      <alignment horizontal="left"/>
    </xf>
    <xf borderId="0" fillId="0" fontId="5" numFmtId="0" xfId="0" applyAlignment="1" applyFont="1">
      <alignment readingOrder="0"/>
    </xf>
    <xf borderId="0" fillId="0" fontId="5" numFmtId="0" xfId="0" applyFont="1"/>
    <xf borderId="14" fillId="9" fontId="8" numFmtId="0" xfId="0" applyAlignment="1" applyBorder="1" applyFont="1">
      <alignment horizontal="left" vertical="center"/>
    </xf>
    <xf borderId="7" fillId="17" fontId="23" numFmtId="0" xfId="0" applyAlignment="1" applyBorder="1" applyFont="1">
      <alignment horizontal="left"/>
    </xf>
    <xf borderId="7" fillId="16" fontId="9" numFmtId="0" xfId="0" applyAlignment="1" applyBorder="1" applyFont="1">
      <alignment horizontal="left" vertical="center"/>
    </xf>
    <xf borderId="16" fillId="8" fontId="9" numFmtId="0" xfId="0" applyAlignment="1" applyBorder="1" applyFont="1">
      <alignment horizontal="left" vertical="center"/>
    </xf>
    <xf borderId="16" fillId="0" fontId="11" numFmtId="1" xfId="0" applyAlignment="1" applyBorder="1" applyFont="1" applyNumberFormat="1">
      <alignment horizontal="left" readingOrder="0" vertical="center"/>
    </xf>
    <xf borderId="16" fillId="0" fontId="11" numFmtId="3" xfId="0" applyAlignment="1" applyBorder="1" applyFont="1" applyNumberFormat="1">
      <alignment horizontal="left" readingOrder="0" vertical="center"/>
    </xf>
    <xf borderId="0" fillId="0" fontId="1" numFmtId="49" xfId="0" applyAlignment="1" applyFont="1" applyNumberFormat="1">
      <alignment horizontal="left" readingOrder="0"/>
    </xf>
    <xf borderId="16" fillId="0" fontId="11" numFmtId="172" xfId="0" applyAlignment="1" applyBorder="1" applyFont="1" applyNumberFormat="1">
      <alignment horizontal="left" vertical="center"/>
    </xf>
    <xf borderId="0" fillId="0" fontId="1" numFmtId="173" xfId="0" applyAlignment="1" applyFont="1" applyNumberFormat="1">
      <alignment horizontal="left"/>
    </xf>
    <xf borderId="16" fillId="8" fontId="9" numFmtId="49" xfId="0" applyAlignment="1" applyBorder="1" applyFont="1" applyNumberFormat="1">
      <alignment horizontal="left" vertical="center"/>
    </xf>
    <xf borderId="16" fillId="8" fontId="9" numFmtId="1" xfId="0" applyAlignment="1" applyBorder="1" applyFont="1" applyNumberFormat="1">
      <alignment horizontal="left" vertical="center"/>
    </xf>
    <xf borderId="16" fillId="8" fontId="9" numFmtId="3" xfId="0" applyAlignment="1" applyBorder="1" applyFont="1" applyNumberFormat="1">
      <alignment horizontal="left" vertical="center"/>
    </xf>
    <xf borderId="0" fillId="0" fontId="1" numFmtId="0" xfId="0" applyAlignment="1" applyFont="1">
      <alignment horizontal="right" vertical="bottom"/>
    </xf>
    <xf borderId="16" fillId="8" fontId="9" numFmtId="49" xfId="0" applyAlignment="1" applyBorder="1" applyFont="1" applyNumberFormat="1">
      <alignment horizontal="left"/>
    </xf>
    <xf borderId="16" fillId="8" fontId="9" numFmtId="1" xfId="0" applyAlignment="1" applyBorder="1" applyFont="1" applyNumberFormat="1">
      <alignment horizontal="left"/>
    </xf>
    <xf borderId="16" fillId="8" fontId="9" numFmtId="3" xfId="0" applyAlignment="1" applyBorder="1" applyFont="1" applyNumberFormat="1">
      <alignment horizontal="left"/>
    </xf>
    <xf borderId="36" fillId="24" fontId="7" numFmtId="0" xfId="0" applyAlignment="1" applyBorder="1" applyFill="1" applyFont="1">
      <alignment horizontal="center" vertical="center"/>
    </xf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0" fillId="0" fontId="1" numFmtId="174" xfId="0" applyFont="1" applyNumberFormat="1"/>
    <xf borderId="0" fillId="0" fontId="1" numFmtId="168" xfId="0" applyFont="1" applyNumberFormat="1"/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175" xfId="0" applyAlignment="1" applyFont="1" applyNumberFormat="1">
      <alignment readingOrder="0"/>
    </xf>
    <xf borderId="0" fillId="0" fontId="1" numFmtId="17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Omzet Closed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'DASHBOARD V2 DATA'!$G$1:$G$3</c:f>
            </c:strRef>
          </c:cat>
          <c:val>
            <c:numRef>
              <c:f>'DASHBOARD V2 DATA'!$H$1:$H$3</c:f>
              <c:numCache/>
            </c:numRef>
          </c:val>
          <c:smooth val="0"/>
        </c:ser>
        <c:axId val="759868571"/>
        <c:axId val="1784599588"/>
      </c:lineChart>
      <c:catAx>
        <c:axId val="75986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599588"/>
      </c:catAx>
      <c:valAx>
        <c:axId val="1784599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868571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Booking Closed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V2 DATA'!$K$1:$K$3</c:f>
            </c:strRef>
          </c:cat>
          <c:val>
            <c:numRef>
              <c:f>'DASHBOARD V2 DATA'!$L$1:$L$3</c:f>
              <c:numCache/>
            </c:numRef>
          </c:val>
        </c:ser>
        <c:axId val="747941816"/>
        <c:axId val="436819693"/>
      </c:barChart>
      <c:catAx>
        <c:axId val="747941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819693"/>
      </c:catAx>
      <c:valAx>
        <c:axId val="436819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941816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Homecare vs Inhouse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V2 DATA'!$O$1:$O$3</c:f>
            </c:strRef>
          </c:cat>
          <c:val>
            <c:numRef>
              <c:f>'DASHBOARD V2 DATA'!$P$1:$P$3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32</xdr:row>
      <xdr:rowOff>0</xdr:rowOff>
    </xdr:from>
    <xdr:ext cx="6191250" cy="2667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32</xdr:row>
      <xdr:rowOff>0</xdr:rowOff>
    </xdr:from>
    <xdr:ext cx="6191250" cy="2667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32</xdr:row>
      <xdr:rowOff>0</xdr:rowOff>
    </xdr:from>
    <xdr:ext cx="4000500" cy="26670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b574d09c-01de-489a-b666-f37a3a6db8cb}" id="{1fa5c290-8077-4abf-a86a-925de6f6ff25}" providerId="google-sheets"/>
  <x18tc:person displayName="tc={5f482d13-ad5b-42d6-a2d0-bb6fd72e7cb1}" id="{9a778882-9d93-43a6-a13f-e90f30c06447}" providerId="google-sheets"/>
  <x18tc:person displayName="SmartSpaDash" id="{f7b976eb-25d1-4e1d-9708-8f0f10787509}" providerId="google-sheets"/>
  <x18tc:person displayName="tc={5a2e60f0-f8fc-4442-9e5c-85c9f553c9fe}" id="{f93740ce-a573-4095-8f17-bfd5342c7b6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26T16:26:21.00" personId="{f7b976eb-25d1-4e1d-9708-8f0f10787509}" id="{6f785b41-32c9-4428-8829-6c4d2a728c9d}" done="0">
    <x18tc:text xml:space="preserve">SmartSpaDash : Klik untuk pindah ke sheet DASHBOARD V2.</x18tc:text>
  </x18tc:threadedComment>
  <x18tc:threadedComment ref="H8" dT="2026-03-26T16:26:21.00" personId="{f7b976eb-25d1-4e1d-9708-8f0f10787509}" id="{22550e47-869a-43c0-89bd-9d09c7d1fb4d}" done="0">
    <x18tc:text xml:space="preserve">SmartSpaDash : Klik untuk logout dari sesi aktif.</x18tc:text>
  </x18tc:threadedComment>
  <x18tc:threadedComment ref="L1" dT="2026-03-26T16:26:21.00" personId="{f7b976eb-25d1-4e1d-9708-8f0f10787509}" id="{996e80a5-d80d-4382-b5e9-511c5ccf2497}" done="0">
    <x18tc:text xml:space="preserve">SmartSpaDash : Klik untuk pindah ke sheet REKAP BULANAN.</x18tc:text>
  </x18tc:threadedComment>
  <x18tc:threadedComment ref="H1" dT="2026-03-26T16:26:21.00" personId="{f7b976eb-25d1-4e1d-9708-8f0f10787509}" id="{a3097630-d235-4410-a277-2a66f6f42b9a}" done="0">
    <x18tc:text xml:space="preserve">SmartSpaDash : Klik untuk pindah ke sheet CRM PELANGGAN.</x18tc:text>
  </x18tc:threadedComment>
  <x18tc:threadedComment ref="H6" dT="2026-03-26T16:26:21.00" personId="{f7b976eb-25d1-4e1d-9708-8f0f10787509}" id="{22c656fa-bb69-4b8d-8d8b-06ad75db9d67}" done="0">
    <x18tc:text xml:space="preserve">SmartSpaDash : Klik untuk login menggunakan email dan PIN pada sheet LOGIN.</x18tc:text>
  </x18tc:threadedComment>
  <x18tc:threadedComment ref="N1" dT="2026-03-26T16:26:21.00" personId="{f7b976eb-25d1-4e1d-9708-8f0f10787509}" id="{34719757-220c-45b1-81b9-fad207077e6b}" done="0">
    <x18tc:text xml:space="preserve">SmartSpaDash : Klik untuk pindah ke sheet INVOICE.</x18tc:text>
  </x18tc:threadedComment>
  <x18tc:threadedComment ref="J1" dT="2026-03-26T16:26:21.00" personId="{f7b976eb-25d1-4e1d-9708-8f0f10787509}" id="{f0c17d0f-3c3d-4986-9ea1-88b77df56e9b}" done="0">
    <x18tc:text xml:space="preserve">SmartSpaDash : Klik untuk pindah ke sheet REKAP HARIAN.</x18tc:text>
  </x18tc:threadedComment>
  <x18tc:threadedComment ref="R1" dT="2026-03-26T16:26:21.00" personId="{f7b976eb-25d1-4e1d-9708-8f0f10787509}" id="{179e6b03-51ae-461a-9d00-223c64da50f6}" done="0">
    <x18tc:text xml:space="preserve">SmartSpaDash : Klik untuk pindah ke sheet LOGIN.</x18tc:text>
  </x18tc:threadedComment>
  <x18tc:threadedComment ref="P1" dT="2026-03-26T16:26:21.00" personId="{f7b976eb-25d1-4e1d-9708-8f0f10787509}" id="{6f4e2dda-42d7-46a0-8b09-72852b8da92b}" done="0">
    <x18tc:text xml:space="preserve">SmartSpaDash : Klik untuk pindah ke sheet JADWAL HARIAN.</x18tc:text>
  </x18tc:threadedComment>
  <x18tc:threadedComment ref="F1" dT="2026-03-26T16:26:21.00" personId="{f7b976eb-25d1-4e1d-9708-8f0f10787509}" id="{0d7eb99f-931b-497c-bfe9-e286c420e158}" done="0">
    <x18tc:text xml:space="preserve">SmartSpaDash : Klik untuk pindah ke sheet TRANSAKSI_LOG.</x18tc:text>
  </x18tc:threadedComment>
  <x18tc:threadedComment ref="D1" dT="2026-03-26T16:26:21.00" personId="{f7b976eb-25d1-4e1d-9708-8f0f10787509}" id="{4db58c00-fc8c-4399-870c-4f04f82e9495}" done="0">
    <x18tc:text xml:space="preserve">SmartSpaDash : Klik untuk pindah ke sheet INPUT BOOKING.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6-03-26T16:26:21.00" personId="{f7b976eb-25d1-4e1d-9708-8f0f10787509}" id="{eebd3113-dd68-442c-bcbc-ad020d90b563}" done="0">
    <x18tc:text xml:space="preserve">SmartSpaDash : Klik untuk pindah ke sheet REKAP BULANAN.</x18tc:text>
  </x18tc:threadedComment>
  <x18tc:threadedComment ref="J1" dT="2026-03-26T16:26:21.00" personId="{f7b976eb-25d1-4e1d-9708-8f0f10787509}" id="{9f79647e-598c-4876-8cef-688462dbbc7c}" done="0">
    <x18tc:text xml:space="preserve">SmartSpaDash : Klik untuk pindah ke sheet REKAP HARIAN.</x18tc:text>
  </x18tc:threadedComment>
  <x18tc:threadedComment ref="R1" dT="2026-03-26T16:26:21.00" personId="{f7b976eb-25d1-4e1d-9708-8f0f10787509}" id="{14cd7a73-5581-451b-b1b6-869405a3ad6b}" done="0">
    <x18tc:text xml:space="preserve">SmartSpaDash : Klik untuk pindah ke sheet LOGIN.</x18tc:text>
  </x18tc:threadedComment>
  <x18tc:threadedComment ref="D1" dT="2026-03-26T16:26:21.00" personId="{f7b976eb-25d1-4e1d-9708-8f0f10787509}" id="{4e839c0f-a055-4cc4-8605-a2e418c6b480}" done="0">
    <x18tc:text xml:space="preserve">SmartSpaDash : Klik untuk pindah ke sheet INPUT BOOKING.</x18tc:text>
  </x18tc:threadedComment>
  <x18tc:threadedComment ref="N1" dT="2026-03-26T16:26:21.00" personId="{f7b976eb-25d1-4e1d-9708-8f0f10787509}" id="{f39df65e-9765-43fd-a787-18901ba43c3f}" done="0">
    <x18tc:text xml:space="preserve">SmartSpaDash : Klik untuk pindah ke sheet INVOICE.</x18tc:text>
  </x18tc:threadedComment>
  <x18tc:threadedComment ref="K5" dT="2026-03-26T16:26:21.00" personId="{9a778882-9d93-43a6-a13f-e90f30c06447}" id="{45f411c7-4547-47a6-a07f-5cc55418017c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reset filter Dashboard V2 ke Semua Tahun, Semua Bulan, dan Semua Hari.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P1" dT="2026-03-26T16:26:21.00" personId="{f7b976eb-25d1-4e1d-9708-8f0f10787509}" id="{8d0d3a81-7c87-40b5-bc3b-3e3ed23543f8}" done="0">
    <x18tc:text xml:space="preserve">SmartSpaDash : Klik untuk pindah ke sheet JADWAL HARIAN.</x18tc:text>
  </x18tc:threadedComment>
  <x18tc:threadedComment ref="F1" dT="2026-03-26T16:26:21.00" personId="{f7b976eb-25d1-4e1d-9708-8f0f10787509}" id="{f9c714e4-ff80-4b63-a57e-b652786479a2}" done="0">
    <x18tc:text xml:space="preserve">SmartSpaDash : Klik untuk pindah ke sheet TRANSAKSI_LOG.</x18tc:text>
  </x18tc:threadedComment>
  <x18tc:threadedComment ref="B1" dT="2026-03-26T16:26:21.00" personId="{f7b976eb-25d1-4e1d-9708-8f0f10787509}" id="{4c27a44f-47ec-4598-bd57-618b85af0f09}" done="0">
    <x18tc:text xml:space="preserve">SmartSpaDash : Klik untuk pindah ke sheet DASHBOARD V2.</x18tc:text>
  </x18tc:threadedComment>
  <x18tc:threadedComment ref="H1" dT="2026-03-26T16:26:21.00" personId="{f7b976eb-25d1-4e1d-9708-8f0f10787509}" id="{74804f78-bac0-4dd5-bab2-03104daa66d7}" done="0">
    <x18tc:text xml:space="preserve">SmartSpaDash : Klik untuk pindah ke sheet CRM PELANGGAN.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" dT="2026-03-26T16:26:21.00" personId="{f7b976eb-25d1-4e1d-9708-8f0f10787509}" id="{5e5bc303-4c86-4403-8238-6480aa01f65f}" done="0">
    <x18tc:text xml:space="preserve">SmartSpaDash : Klik untuk pindah ke sheet JADWAL HARIAN.</x18tc:text>
  </x18tc:threadedComment>
  <x18tc:threadedComment ref="J18" dT="2026-03-26T16:26:21.00" personId="{f7b976eb-25d1-4e1d-9708-8f0f10787509}" id="{00e7a85d-7c5c-4d6e-8ac3-d7ba0b4c0edb}" done="0">
    <x18tc:text xml:space="preserve">SmartSpaDash : Klik untuk reset form input booking.</x18tc:text>
  </x18tc:threadedComment>
  <x18tc:threadedComment ref="H22" dT="2026-03-26T16:26:21.00" personId="{f7b976eb-25d1-4e1d-9708-8f0f10787509}" id="{eb601298-eb89-45b9-a96d-0a5757f4d54d}" done="0">
    <x18tc:text xml:space="preserve">SmartSpaDash : Klik untuk mengembalikan booking hasil pencarian K6:K17 menjadi Belum Bayar, PENDING, dan Active.</x18tc:text>
  </x18tc:threadedComment>
  <x18tc:threadedComment ref="B1" dT="2026-03-26T16:26:21.00" personId="{f7b976eb-25d1-4e1d-9708-8f0f10787509}" id="{32c4ade6-c842-4f69-b65c-38ccda80e0cb}" done="0">
    <x18tc:text xml:space="preserve">SmartSpaDash : Klik untuk pindah ke sheet DASHBOARD V2.</x18tc:text>
  </x18tc:threadedComment>
  <x18tc:threadedComment ref="J22" dT="2026-03-26T16:26:21.00" personId="{f7b976eb-25d1-4e1d-9708-8f0f10787509}" id="{fe459d49-bb5a-48d8-af01-44ef644e635d}" done="0">
    <x18tc:text xml:space="preserve">SmartSpaDash : Klik untuk membuat invoice dari hasil pencarian K6:K17.</x18tc:text>
  </x18tc:threadedComment>
  <x18tc:threadedComment ref="J1" dT="2026-03-26T16:26:21.00" personId="{f7b976eb-25d1-4e1d-9708-8f0f10787509}" id="{90b6868f-4a43-4b29-9241-2e0585b5384d}" done="0">
    <x18tc:text xml:space="preserve">SmartSpaDash : Klik untuk pindah ke sheet REKAP HARIAN.</x18tc:text>
  </x18tc:threadedComment>
  <x18tc:threadedComment ref="L1" dT="2026-03-26T16:26:21.00" personId="{f7b976eb-25d1-4e1d-9708-8f0f10787509}" id="{5120dd3a-f668-4d35-b6c5-d0d84d0edaaf}" done="0">
    <x18tc:text xml:space="preserve">SmartSpaDash : Klik untuk pindah ke sheet REKAP BULANAN.</x18tc:text>
  </x18tc:threadedComment>
  <x18tc:threadedComment ref="D1" dT="2026-03-26T16:26:21.00" personId="{f7b976eb-25d1-4e1d-9708-8f0f10787509}" id="{98b35348-1e9a-486f-b126-247cc329610d}" done="0">
    <x18tc:text xml:space="preserve">SmartSpaDash : Klik untuk pindah ke sheet INPUT BOOKING.</x18tc:text>
  </x18tc:threadedComment>
  <x18tc:threadedComment ref="J20" dT="2026-03-26T16:26:21.00" personId="{f7b976eb-25d1-4e1d-9708-8f0f10787509}" id="{8ccbb3ec-410e-4a03-b964-91e03f8b86c1}" done="0">
    <x18tc:text xml:space="preserve">SmartSpaDash : Klik untuk mencari booking dari F16 dan menampilkan hasil di K6:K17.</x18tc:text>
  </x18tc:threadedComment>
  <x18tc:threadedComment ref="H24" dT="2026-03-26T16:26:21.00" personId="{f7b976eb-25d1-4e1d-9708-8f0f10787509}" id="{04fad887-b2c5-4a14-94ac-d83dc3d54406}" done="0">
    <x18tc:text xml:space="preserve">SmartSpaDash : Klik untuk tandai lunas berdasarkan hasil pencarian K6:K17.</x18tc:text>
  </x18tc:threadedComment>
  <x18tc:threadedComment ref="N1" dT="2026-03-26T16:26:21.00" personId="{f7b976eb-25d1-4e1d-9708-8f0f10787509}" id="{957a3ad3-041e-45c6-b5dc-4adea0c511b4}" done="0">
    <x18tc:text xml:space="preserve">SmartSpaDash : Klik untuk pindah ke sheet INVOICE.</x18tc:text>
  </x18tc:threadedComment>
  <x18tc:threadedComment ref="H20" dT="2026-03-26T16:26:21.00" personId="{f7b976eb-25d1-4e1d-9708-8f0f10787509}" id="{b29d45e4-4a6a-46a8-b98d-2ee205a00b66}" done="0">
    <x18tc:text xml:space="preserve">SmartSpaDash : Klik untuk cek bentrok jadwal.</x18tc:text>
  </x18tc:threadedComment>
  <x18tc:threadedComment ref="H1" dT="2026-03-26T16:26:21.00" personId="{f7b976eb-25d1-4e1d-9708-8f0f10787509}" id="{cab1344c-1be2-4467-91e5-8b0498a003bc}" done="0">
    <x18tc:text xml:space="preserve">SmartSpaDash : Klik untuk pindah ke sheet CRM PELANGGAN.</x18tc:text>
  </x18tc:threadedComment>
  <x18tc:threadedComment ref="R1" dT="2026-03-26T16:26:21.00" personId="{f7b976eb-25d1-4e1d-9708-8f0f10787509}" id="{51ebb096-53a9-40f4-9044-7fff1a0c1225}" done="0">
    <x18tc:text xml:space="preserve">SmartSpaDash : Klik untuk pindah ke sheet LOGIN.</x18tc:text>
  </x18tc:threadedComment>
  <x18tc:threadedComment ref="F1" dT="2026-03-26T16:26:21.00" personId="{f7b976eb-25d1-4e1d-9708-8f0f10787509}" id="{26e51a81-7275-4614-81a3-a7a2afb3e7dc}" done="0">
    <x18tc:text xml:space="preserve">SmartSpaDash : Klik untuk pindah ke sheet TRANSAKSI_LOG.</x18tc:text>
  </x18tc:threadedComment>
  <x18tc:threadedComment ref="H18" dT="2026-03-26T16:26:21.00" personId="{f7b976eb-25d1-4e1d-9708-8f0f10787509}" id="{11f4da05-c278-4e4b-925f-babaa7511d8d}" done="0">
    <x18tc:text xml:space="preserve">SmartSpaDash : Klik untuk menyimpan booking baru.</x18tc:text>
  </x18tc:threadedComment>
  <x18tc:threadedComment ref="J24" dT="2026-03-26T16:26:21.00" personId="{f7b976eb-25d1-4e1d-9708-8f0f10787509}" id="{c969c9e5-c114-44e1-9931-39883814b877}" done="0">
    <x18tc:text xml:space="preserve">SmartSpaDash : Klik untuk tandai sesi selesai berdasarkan hasil pencarian K6:K17.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3-26T16:26:21.00" personId="{f7b976eb-25d1-4e1d-9708-8f0f10787509}" id="{53b267f8-b9ed-4e52-ab5f-74c29b4dc4d3}" done="0">
    <x18tc:text xml:space="preserve">SmartSpaDash : Klik untuk pindah ke sheet REKAP HARIAN.</x18tc:text>
  </x18tc:threadedComment>
  <x18tc:threadedComment ref="B1" dT="2026-03-26T16:26:21.00" personId="{f7b976eb-25d1-4e1d-9708-8f0f10787509}" id="{20fef181-ef93-424b-a82c-ee76361c85bd}" done="0">
    <x18tc:text xml:space="preserve">SmartSpaDash : Klik untuk pindah ke sheet DASHBOARD V2.</x18tc:text>
  </x18tc:threadedComment>
  <x18tc:threadedComment ref="F1" dT="2026-03-26T16:26:21.00" personId="{f7b976eb-25d1-4e1d-9708-8f0f10787509}" id="{7e7104e6-fcbc-4d19-9ab0-d6bd32292e82}" done="0">
    <x18tc:text xml:space="preserve">SmartSpaDash : Klik untuk pindah ke sheet TRANSAKSI_LOG.</x18tc:text>
  </x18tc:threadedComment>
  <x18tc:threadedComment ref="P1" dT="2026-03-26T16:26:21.00" personId="{f7b976eb-25d1-4e1d-9708-8f0f10787509}" id="{3fb291be-9ce2-4383-8167-970e0dc570df}" done="0">
    <x18tc:text xml:space="preserve">SmartSpaDash : Klik untuk pindah ke sheet JADWAL HARIAN.</x18tc:text>
  </x18tc:threadedComment>
  <x18tc:threadedComment ref="D1" dT="2026-03-26T16:26:21.00" personId="{f7b976eb-25d1-4e1d-9708-8f0f10787509}" id="{b1adaa56-1367-43b0-aab5-6d048330f3c8}" done="0">
    <x18tc:text xml:space="preserve">SmartSpaDash : Klik untuk pindah ke sheet INPUT BOOKING.</x18tc:text>
  </x18tc:threadedComment>
  <x18tc:threadedComment ref="L1" dT="2026-03-26T16:26:21.00" personId="{f7b976eb-25d1-4e1d-9708-8f0f10787509}" id="{682c414b-194b-4792-984d-fa88b6637968}" done="0">
    <x18tc:text xml:space="preserve">SmartSpaDash : Klik untuk pindah ke sheet REKAP BULANAN.</x18tc:text>
  </x18tc:threadedComment>
  <x18tc:threadedComment ref="H1" dT="2026-03-26T16:26:21.00" personId="{f7b976eb-25d1-4e1d-9708-8f0f10787509}" id="{af16d87a-4976-4042-9ca2-c0924188f6fc}" done="0">
    <x18tc:text xml:space="preserve">SmartSpaDash : Klik untuk pindah ke sheet CRM PELANGGAN.</x18tc:text>
  </x18tc:threadedComment>
  <x18tc:threadedComment ref="R1" dT="2026-03-26T16:26:21.00" personId="{f7b976eb-25d1-4e1d-9708-8f0f10787509}" id="{a405ebd3-f050-4f6f-a8d7-4bcfe43fa580}" done="0">
    <x18tc:text xml:space="preserve">SmartSpaDash : Klik untuk pindah ke sheet LOGIN.</x18tc:text>
  </x18tc:threadedComment>
  <x18tc:threadedComment ref="N1" dT="2026-03-26T16:26:21.00" personId="{f7b976eb-25d1-4e1d-9708-8f0f10787509}" id="{74dc7e6c-6047-44e8-93eb-3f29b4d7a2e6}" done="0">
    <x18tc:text xml:space="preserve">SmartSpaDash : Klik untuk pindah ke sheet INVOICE.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3-26T16:26:21.00" personId="{f7b976eb-25d1-4e1d-9708-8f0f10787509}" id="{f0ed70d7-44e5-460c-8863-b282ee4cdf99}" done="0">
    <x18tc:text xml:space="preserve">SmartSpaDash : Klik untuk pindah ke sheet CRM PELANGGAN.</x18tc:text>
  </x18tc:threadedComment>
  <x18tc:threadedComment ref="B1" dT="2026-03-26T16:26:21.00" personId="{f7b976eb-25d1-4e1d-9708-8f0f10787509}" id="{d6a7748f-31ea-427c-99d3-16822b7c7f49}" done="0">
    <x18tc:text xml:space="preserve">SmartSpaDash : Klik untuk pindah ke sheet DASHBOARD V2.</x18tc:text>
  </x18tc:threadedComment>
  <x18tc:threadedComment ref="P1" dT="2026-03-26T16:26:21.00" personId="{f7b976eb-25d1-4e1d-9708-8f0f10787509}" id="{4718224f-9e83-46a5-bc58-2fb8ff221fe1}" done="0">
    <x18tc:text xml:space="preserve">SmartSpaDash : Klik untuk pindah ke sheet JADWAL HARIAN.</x18tc:text>
  </x18tc:threadedComment>
  <x18tc:threadedComment ref="D1" dT="2026-03-26T16:26:21.00" personId="{f7b976eb-25d1-4e1d-9708-8f0f10787509}" id="{6f2d073a-7d2a-4468-9bee-ba9111183819}" done="0">
    <x18tc:text xml:space="preserve">SmartSpaDash : Klik untuk pindah ke sheet INPUT BOOKING.</x18tc:text>
  </x18tc:threadedComment>
  <x18tc:threadedComment ref="F1" dT="2026-03-26T16:26:21.00" personId="{f7b976eb-25d1-4e1d-9708-8f0f10787509}" id="{50219e43-9309-49a6-94af-7fabc0614edc}" done="0">
    <x18tc:text xml:space="preserve">SmartSpaDash : Klik untuk pindah ke sheet TRANSAKSI_LOG.</x18tc:text>
  </x18tc:threadedComment>
  <x18tc:threadedComment ref="N1" dT="2026-03-26T16:26:21.00" personId="{f7b976eb-25d1-4e1d-9708-8f0f10787509}" id="{2f550564-f07c-4c13-a5c6-04f0ec34cbfe}" done="0">
    <x18tc:text xml:space="preserve">SmartSpaDash : Klik untuk pindah ke sheet INVOICE.</x18tc:text>
  </x18tc:threadedComment>
  <x18tc:threadedComment ref="L1" dT="2026-03-26T16:26:21.00" personId="{f7b976eb-25d1-4e1d-9708-8f0f10787509}" id="{375aa5ce-70b5-4b12-80f1-3ff5aca612e7}" done="0">
    <x18tc:text xml:space="preserve">SmartSpaDash : Klik untuk pindah ke sheet REKAP BULANAN.</x18tc:text>
  </x18tc:threadedComment>
  <x18tc:threadedComment ref="J1" dT="2026-03-26T16:26:21.00" personId="{f7b976eb-25d1-4e1d-9708-8f0f10787509}" id="{cf153dbe-922a-4a7a-88ce-c937b57ef333}" done="0">
    <x18tc:text xml:space="preserve">SmartSpaDash : Klik untuk pindah ke sheet REKAP HARIAN.</x18tc:text>
  </x18tc:threadedComment>
  <x18tc:threadedComment ref="R1" dT="2026-03-26T16:26:21.00" personId="{f7b976eb-25d1-4e1d-9708-8f0f10787509}" id="{c3fb0233-6dff-4fd5-b72d-21bf4896fb29}" done="0">
    <x18tc:text xml:space="preserve">SmartSpaDash : Klik untuk pindah ke sheet LOGIN.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1" dT="2026-03-26T16:26:21.00" personId="{f7b976eb-25d1-4e1d-9708-8f0f10787509}" id="{40be6830-17d7-4e7b-b12e-d744bfe28bb4}" done="0">
    <x18tc:text xml:space="preserve">SmartSpaDash : Klik untuk pindah ke sheet INVOICE.</x18tc:text>
  </x18tc:threadedComment>
  <x18tc:threadedComment ref="L1" dT="2026-03-26T16:26:21.00" personId="{f7b976eb-25d1-4e1d-9708-8f0f10787509}" id="{485d2623-5933-467d-bb2e-13e9e6116ef9}" done="0">
    <x18tc:text xml:space="preserve">SmartSpaDash : Klik untuk pindah ke sheet DASHBOARD V2.</x18tc:text>
  </x18tc:threadedComment>
  <x18tc:threadedComment ref="R1" dT="2026-03-26T16:26:21.00" personId="{f7b976eb-25d1-4e1d-9708-8f0f10787509}" id="{02e91aaa-3a4f-4d66-9802-3b84fc800524}" done="0">
    <x18tc:text xml:space="preserve">SmartSpaDash : Klik untuk pindah ke sheet CRM PELANGGAN.</x18tc:text>
  </x18tc:threadedComment>
  <x18tc:threadedComment ref="AB1" dT="2026-03-26T16:26:21.00" personId="{f7b976eb-25d1-4e1d-9708-8f0f10787509}" id="{500c89be-6faf-44da-a5d6-6f8330d8fcb6}" done="0">
    <x18tc:text xml:space="preserve">SmartSpaDash : Klik untuk pindah ke sheet LOGIN.</x18tc:text>
  </x18tc:threadedComment>
  <x18tc:threadedComment ref="V1" dT="2026-03-26T16:26:21.00" personId="{f7b976eb-25d1-4e1d-9708-8f0f10787509}" id="{78bc5a2c-3f20-4824-9df5-d7a366a54e7d}" done="0">
    <x18tc:text xml:space="preserve">SmartSpaDash : Klik untuk pindah ke sheet REKAP BULANAN.</x18tc:text>
  </x18tc:threadedComment>
  <x18tc:threadedComment ref="P1" dT="2026-03-26T16:26:21.00" personId="{f7b976eb-25d1-4e1d-9708-8f0f10787509}" id="{842f3f9d-ab70-405d-9355-4c0da98b8ef2}" done="0">
    <x18tc:text xml:space="preserve">SmartSpaDash : Klik untuk pindah ke sheet TRANSAKSI_LOG.</x18tc:text>
  </x18tc:threadedComment>
  <x18tc:threadedComment ref="T1" dT="2026-03-26T16:26:21.00" personId="{f7b976eb-25d1-4e1d-9708-8f0f10787509}" id="{6adad2f5-7724-44dc-90e1-386b8a169d1f}" done="0">
    <x18tc:text xml:space="preserve">SmartSpaDash : Klik untuk pindah ke sheet REKAP HARIAN.</x18tc:text>
  </x18tc:threadedComment>
  <x18tc:threadedComment ref="N1" dT="2026-03-26T16:26:21.00" personId="{f7b976eb-25d1-4e1d-9708-8f0f10787509}" id="{20a7193f-29ab-48c7-9fd3-4d82d6d4040b}" done="0">
    <x18tc:text xml:space="preserve">SmartSpaDash : Klik untuk pindah ke sheet INPUT BOOKING.</x18tc:text>
  </x18tc:threadedComment>
  <x18tc:threadedComment ref="Z1" dT="2026-03-26T16:26:21.00" personId="{f7b976eb-25d1-4e1d-9708-8f0f10787509}" id="{bfe308fa-f937-4901-b31b-c3bad7e4113f}" done="0">
    <x18tc:text xml:space="preserve">SmartSpaDash : Klik untuk pindah ke sheet JADWAL HARIAN.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1" dT="2026-03-26T16:26:21.00" personId="{f7b976eb-25d1-4e1d-9708-8f0f10787509}" id="{d9560304-5773-43cc-a925-3af10f6c683f}" done="0">
    <x18tc:text xml:space="preserve">SmartSpaDash : Klik untuk pindah ke sheet INVOICE.</x18tc:text>
  </x18tc:threadedComment>
  <x18tc:threadedComment ref="AT1" dT="2026-03-26T16:26:21.00" personId="{f7b976eb-25d1-4e1d-9708-8f0f10787509}" id="{a30ebfe2-94b8-44fd-8d7c-2d94ae47095b}" done="0">
    <x18tc:text xml:space="preserve">SmartSpaDash : Klik untuk pindah ke sheet REKAP BULANAN.</x18tc:text>
  </x18tc:threadedComment>
  <x18tc:threadedComment ref="AJ1" dT="2026-03-26T16:26:21.00" personId="{f7b976eb-25d1-4e1d-9708-8f0f10787509}" id="{dff505e6-f1ce-4756-b88e-cf98388039c5}" done="0">
    <x18tc:text xml:space="preserve">SmartSpaDash : Klik untuk pindah ke sheet DASHBOARD V2.</x18tc:text>
  </x18tc:threadedComment>
  <x18tc:threadedComment ref="AX1" dT="2026-03-26T16:26:21.00" personId="{f7b976eb-25d1-4e1d-9708-8f0f10787509}" id="{4e18557a-7e3b-4642-bf0a-fdea370b323a}" done="0">
    <x18tc:text xml:space="preserve">SmartSpaDash : Klik untuk pindah ke sheet JADWAL HARIAN.</x18tc:text>
  </x18tc:threadedComment>
  <x18tc:threadedComment ref="AN1" dT="2026-03-26T16:26:21.00" personId="{f7b976eb-25d1-4e1d-9708-8f0f10787509}" id="{c88320e0-888e-4f77-89e4-87f9c1f35731}" done="0">
    <x18tc:text xml:space="preserve">SmartSpaDash : Klik untuk pindah ke sheet TRANSAKSI_LOG.</x18tc:text>
  </x18tc:threadedComment>
  <x18tc:threadedComment ref="AR1" dT="2026-03-26T16:26:21.00" personId="{f7b976eb-25d1-4e1d-9708-8f0f10787509}" id="{13a2a62d-a7ca-4dea-bbf2-5d1eddea419c}" done="0">
    <x18tc:text xml:space="preserve">SmartSpaDash : Klik untuk pindah ke sheet REKAP HARIAN.</x18tc:text>
  </x18tc:threadedComment>
  <x18tc:threadedComment ref="AZ1" dT="2026-03-26T16:26:21.00" personId="{f7b976eb-25d1-4e1d-9708-8f0f10787509}" id="{954e38aa-bfe1-4c95-bf75-e51d2aa7d5f5}" done="0">
    <x18tc:text xml:space="preserve">SmartSpaDash : Klik untuk pindah ke sheet LOGIN.</x18tc:text>
  </x18tc:threadedComment>
  <x18tc:threadedComment ref="AL1" dT="2026-03-26T16:26:21.00" personId="{f7b976eb-25d1-4e1d-9708-8f0f10787509}" id="{d038a816-8679-4345-bce4-6a9ffb95a55d}" done="0">
    <x18tc:text xml:space="preserve">SmartSpaDash : Klik untuk pindah ke sheet INPUT BOOKING.</x18tc:text>
  </x18tc:threadedComment>
  <x18tc:threadedComment ref="AP1" dT="2026-03-26T16:26:21.00" personId="{f7b976eb-25d1-4e1d-9708-8f0f10787509}" id="{75b5f8ef-91e6-495e-9b85-f1d8029c86d8}" done="0">
    <x18tc:text xml:space="preserve">SmartSpaDash : Klik untuk pindah ke sheet CRM PELANGGAN.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1" dT="2026-03-26T16:26:21.00" personId="{f7b976eb-25d1-4e1d-9708-8f0f10787509}" id="{94265ac7-7d9c-401b-b129-34c49d67b2c3}" done="0">
    <x18tc:text xml:space="preserve">SmartSpaDash : Klik untuk pindah ke sheet JADWAL HARIAN.</x18tc:text>
  </x18tc:threadedComment>
  <x18tc:threadedComment ref="Z1" dT="2026-03-26T16:26:21.00" personId="{f7b976eb-25d1-4e1d-9708-8f0f10787509}" id="{161fccfb-add3-4eab-8e78-1a9a5995a02b}" done="0">
    <x18tc:text xml:space="preserve">SmartSpaDash : Klik untuk pindah ke sheet LOGIN.</x18tc:text>
  </x18tc:threadedComment>
  <x18tc:threadedComment ref="J1" dT="2026-03-26T16:26:21.00" personId="{f7b976eb-25d1-4e1d-9708-8f0f10787509}" id="{3c9b2c7d-dae3-46fa-9e7b-984b0e992df4}" done="0">
    <x18tc:text xml:space="preserve">SmartSpaDash : Klik untuk pindah ke sheet DASHBOARD V2.</x18tc:text>
  </x18tc:threadedComment>
  <x18tc:threadedComment ref="L1" dT="2026-03-26T16:26:21.00" personId="{f7b976eb-25d1-4e1d-9708-8f0f10787509}" id="{9c0b47ae-1c77-442b-bf1a-e4c8039948c6}" done="0">
    <x18tc:text xml:space="preserve">SmartSpaDash : Klik untuk pindah ke sheet INPUT BOOKING.</x18tc:text>
  </x18tc:threadedComment>
  <x18tc:threadedComment ref="T1" dT="2026-03-26T16:26:21.00" personId="{f7b976eb-25d1-4e1d-9708-8f0f10787509}" id="{cc907264-6180-4e91-a3d5-168f661001dc}" done="0">
    <x18tc:text xml:space="preserve">SmartSpaDash : Klik untuk pindah ke sheet REKAP BULANAN.</x18tc:text>
  </x18tc:threadedComment>
  <x18tc:threadedComment ref="R1" dT="2026-03-26T16:26:21.00" personId="{f7b976eb-25d1-4e1d-9708-8f0f10787509}" id="{fd6700e0-aea1-4b29-8e98-741a8eac69a9}" done="0">
    <x18tc:text xml:space="preserve">SmartSpaDash : Klik untuk pindah ke sheet REKAP HARIAN.</x18tc:text>
  </x18tc:threadedComment>
  <x18tc:threadedComment ref="V1" dT="2026-03-26T16:26:21.00" personId="{f7b976eb-25d1-4e1d-9708-8f0f10787509}" id="{34cfe3b9-f1d5-48b7-95f0-017e7dd975dd}" done="0">
    <x18tc:text xml:space="preserve">SmartSpaDash : Klik untuk pindah ke sheet INVOICE.</x18tc:text>
  </x18tc:threadedComment>
  <x18tc:threadedComment ref="N1" dT="2026-03-26T16:26:21.00" personId="{f7b976eb-25d1-4e1d-9708-8f0f10787509}" id="{27056ef5-e089-463b-b604-b167c500e8f9}" done="0">
    <x18tc:text xml:space="preserve">SmartSpaDash : Klik untuk pindah ke sheet TRANSAKSI_LOG.</x18tc:text>
  </x18tc:threadedComment>
  <x18tc:threadedComment ref="P1" dT="2026-03-26T16:26:21.00" personId="{f7b976eb-25d1-4e1d-9708-8f0f10787509}" id="{b9fdbb6e-0ebc-46f4-ae8b-29fd60cb286a}" done="0">
    <x18tc:text xml:space="preserve">SmartSpaDash : Klik untuk pindah ke sheet CRM PELANGGAN.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1" dT="2026-03-26T16:26:21.00" personId="{f7b976eb-25d1-4e1d-9708-8f0f10787509}" id="{7f56b8c4-93b7-4958-916c-314b9ea27edb}" done="0">
    <x18tc:text xml:space="preserve">SmartSpaDash : Klik untuk pindah ke sheet REKAP BULANAN.</x18tc:text>
  </x18tc:threadedComment>
  <x18tc:threadedComment ref="AE1" dT="2026-03-26T16:26:21.00" personId="{f7b976eb-25d1-4e1d-9708-8f0f10787509}" id="{6eba8708-415f-4211-a441-576681b1bbff}" done="0">
    <x18tc:text xml:space="preserve">SmartSpaDash : Klik untuk pindah ke sheet JADWAL HARIAN.</x18tc:text>
  </x18tc:threadedComment>
  <x18tc:threadedComment ref="W1" dT="2026-03-26T16:26:21.00" personId="{f7b976eb-25d1-4e1d-9708-8f0f10787509}" id="{71be0d86-7319-4afe-978a-dc28e71c7a19}" done="0">
    <x18tc:text xml:space="preserve">SmartSpaDash : Klik untuk pindah ke sheet CRM PELANGGAN.</x18tc:text>
  </x18tc:threadedComment>
  <x18tc:threadedComment ref="Y1" dT="2026-03-26T16:26:21.00" personId="{f7b976eb-25d1-4e1d-9708-8f0f10787509}" id="{1893aedc-fe2e-4b02-a042-54acd453f793}" done="0">
    <x18tc:text xml:space="preserve">SmartSpaDash : Klik untuk pindah ke sheet REKAP HARIAN.</x18tc:text>
  </x18tc:threadedComment>
  <x18tc:threadedComment ref="AG1" dT="2026-03-26T16:26:21.00" personId="{f7b976eb-25d1-4e1d-9708-8f0f10787509}" id="{55da3c1e-54be-48f8-8da0-8ae6b3a62551}" done="0">
    <x18tc:text xml:space="preserve">SmartSpaDash : Klik untuk pindah ke sheet LOGIN.</x18tc:text>
  </x18tc:threadedComment>
  <x18tc:threadedComment ref="S1" dT="2026-03-26T16:26:21.00" personId="{f7b976eb-25d1-4e1d-9708-8f0f10787509}" id="{f1948102-94d0-4912-98f4-3fab0a37a21b}" done="0">
    <x18tc:text xml:space="preserve">SmartSpaDash : Klik untuk pindah ke sheet INPUT BOOKING.</x18tc:text>
  </x18tc:threadedComment>
  <x18tc:threadedComment ref="Q1" dT="2026-03-26T16:26:21.00" personId="{f7b976eb-25d1-4e1d-9708-8f0f10787509}" id="{67888420-044f-45dc-899b-0be0960cd643}" done="0">
    <x18tc:text xml:space="preserve">SmartSpaDash : Klik untuk pindah ke sheet DASHBOARD V2.</x18tc:text>
  </x18tc:threadedComment>
  <x18tc:threadedComment ref="U1" dT="2026-03-26T16:26:21.00" personId="{f7b976eb-25d1-4e1d-9708-8f0f10787509}" id="{4266a600-d02e-462b-a24e-87affd5f86e2}" done="0">
    <x18tc:text xml:space="preserve">SmartSpaDash : Klik untuk pindah ke sheet TRANSAKSI_LOG.</x18tc:text>
  </x18tc:threadedComment>
  <x18tc:threadedComment ref="AC1" dT="2026-03-26T16:26:21.00" personId="{f7b976eb-25d1-4e1d-9708-8f0f10787509}" id="{bfdaa4f1-cd5a-4d8f-b000-2516c1eb7ef4}" done="0">
    <x18tc:text xml:space="preserve">SmartSpaDash : Klik untuk pindah ke sheet INVOICE.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" dT="2026-03-26T16:26:21.00" personId="{f93740ce-a573-4095-8f17-bfd5342c7b6d}" id="{1ab40656-5568-4638-a8a7-aaed69800d5e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menarik data master terapis aktif ke sheet KOMISI TERAPIS dan memperbarui komisi.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6-03-26T16:26:21.00" personId="{1fa5c290-8077-4abf-a86a-925de6f6ff25}" id="{f0b29071-3ed1-4259-aec1-cd5fad77e315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SmartSpaDash : Klik untuk menarik data master SA aktif ke sheet KOMISI SA dan memperbarui komisi.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0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1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8.0"/>
    <col customWidth="1" min="3" max="3" width="25.43"/>
    <col customWidth="1" min="4" max="9" width="18.0"/>
  </cols>
  <sheetData>
    <row r="1" ht="21.75" customHeight="1">
      <c r="A1" s="1"/>
      <c r="B1" s="2" t="s">
        <v>0</v>
      </c>
      <c r="D1" s="2" t="s">
        <v>1</v>
      </c>
      <c r="F1" s="2" t="s">
        <v>2</v>
      </c>
      <c r="H1" s="3" t="s">
        <v>3</v>
      </c>
      <c r="I1" s="4"/>
      <c r="J1" s="3" t="s">
        <v>4</v>
      </c>
      <c r="K1" s="4"/>
      <c r="L1" s="3" t="s">
        <v>5</v>
      </c>
      <c r="M1" s="4"/>
      <c r="N1" s="3" t="s">
        <v>6</v>
      </c>
      <c r="O1" s="4"/>
      <c r="P1" s="3" t="s">
        <v>7</v>
      </c>
      <c r="Q1" s="4"/>
      <c r="R1" s="5" t="s">
        <v>8</v>
      </c>
      <c r="S1" s="4"/>
      <c r="T1" s="1"/>
      <c r="U1" s="1"/>
      <c r="V1" s="1"/>
      <c r="W1" s="1"/>
      <c r="X1" s="1"/>
      <c r="Y1" s="1"/>
      <c r="Z1" s="1"/>
    </row>
    <row r="2" ht="18.0" customHeight="1">
      <c r="A2" s="1"/>
      <c r="B2" s="6"/>
      <c r="H2" s="7"/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1"/>
      <c r="U2" s="1"/>
      <c r="V2" s="1"/>
      <c r="W2" s="1"/>
      <c r="X2" s="1"/>
      <c r="Y2" s="1"/>
      <c r="Z2" s="1"/>
    </row>
    <row r="3" ht="14.25" customHeight="1">
      <c r="A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9"/>
      <c r="B5" s="10"/>
      <c r="C5" s="10"/>
      <c r="D5" s="10"/>
      <c r="E5" s="10"/>
      <c r="F5" s="10"/>
      <c r="G5" s="10"/>
      <c r="H5" s="10"/>
      <c r="I5" s="1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75" customHeight="1">
      <c r="A6" s="1"/>
      <c r="B6" s="11" t="s">
        <v>9</v>
      </c>
      <c r="C6" s="12" t="s">
        <v>10</v>
      </c>
      <c r="D6" s="1"/>
      <c r="E6" s="11" t="s">
        <v>11</v>
      </c>
      <c r="F6" s="13">
        <v>1234.0</v>
      </c>
      <c r="G6" s="1"/>
      <c r="H6" s="14" t="s">
        <v>8</v>
      </c>
      <c r="I6" s="1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"/>
      <c r="C7" s="16"/>
      <c r="D7" s="1"/>
      <c r="E7" s="1"/>
      <c r="F7" s="1"/>
      <c r="G7" s="1"/>
      <c r="H7" s="17"/>
      <c r="I7" s="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19" t="s">
        <v>12</v>
      </c>
      <c r="C8" s="20" t="s">
        <v>13</v>
      </c>
      <c r="D8" s="21"/>
      <c r="E8" s="19" t="s">
        <v>14</v>
      </c>
      <c r="F8" s="22" t="s">
        <v>15</v>
      </c>
      <c r="G8" s="21"/>
      <c r="H8" s="23" t="s">
        <v>16</v>
      </c>
      <c r="I8" s="1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9" t="s">
        <v>17</v>
      </c>
      <c r="C9" s="24">
        <v>46107.78004252315</v>
      </c>
      <c r="D9" s="21"/>
      <c r="E9" s="21"/>
      <c r="F9" s="21"/>
      <c r="G9" s="21"/>
      <c r="H9" s="25"/>
      <c r="I9" s="1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8">
    <mergeCell ref="H1:I2"/>
    <mergeCell ref="J1:K2"/>
    <mergeCell ref="L1:M2"/>
    <mergeCell ref="N1:O2"/>
    <mergeCell ref="P1:Q2"/>
    <mergeCell ref="R1:S2"/>
    <mergeCell ref="H6:I7"/>
    <mergeCell ref="H8:I9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72.0"/>
    <col customWidth="1" min="4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26" t="s">
        <v>18</v>
      </c>
      <c r="C2" s="2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8" t="s">
        <v>19</v>
      </c>
      <c r="C4" s="28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29">
        <v>1.0</v>
      </c>
      <c r="C5" s="30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29">
        <v>2.0</v>
      </c>
      <c r="C6" s="30" t="s">
        <v>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29">
        <v>3.0</v>
      </c>
      <c r="C7" s="30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29">
        <v>4.0</v>
      </c>
      <c r="C8" s="30" t="s">
        <v>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29">
        <v>5.0</v>
      </c>
      <c r="C9" s="31" t="s">
        <v>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B2:C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.0"/>
    <col customWidth="1" min="2" max="4" width="14.0"/>
    <col customWidth="1" min="5" max="10" width="13.0"/>
    <col customWidth="1" min="11" max="23" width="12.0"/>
  </cols>
  <sheetData>
    <row r="1" ht="21.75" customHeight="1">
      <c r="A1" s="1"/>
      <c r="B1" s="32" t="s">
        <v>0</v>
      </c>
      <c r="D1" s="2" t="s">
        <v>1</v>
      </c>
      <c r="F1" s="2" t="s">
        <v>2</v>
      </c>
      <c r="H1" s="2" t="s">
        <v>3</v>
      </c>
      <c r="J1" s="2" t="s">
        <v>4</v>
      </c>
      <c r="L1" s="2" t="s">
        <v>5</v>
      </c>
      <c r="N1" s="3" t="s">
        <v>6</v>
      </c>
      <c r="O1" s="4"/>
      <c r="P1" s="3" t="s">
        <v>7</v>
      </c>
      <c r="Q1" s="4"/>
      <c r="R1" s="3" t="s">
        <v>8</v>
      </c>
      <c r="S1" s="4"/>
      <c r="T1" s="1"/>
      <c r="U1" s="1"/>
      <c r="V1" s="1"/>
      <c r="W1" s="1"/>
      <c r="X1" s="1"/>
      <c r="Y1" s="1"/>
      <c r="Z1" s="1"/>
    </row>
    <row r="2" ht="18.0" customHeight="1">
      <c r="A2" s="1"/>
      <c r="B2" s="33"/>
      <c r="L2" s="34"/>
      <c r="N2" s="7"/>
      <c r="O2" s="8"/>
      <c r="P2" s="7"/>
      <c r="Q2" s="8"/>
      <c r="R2" s="7"/>
      <c r="S2" s="8"/>
      <c r="T2" s="1"/>
      <c r="U2" s="1"/>
      <c r="V2" s="1"/>
      <c r="W2" s="1"/>
      <c r="X2" s="1"/>
      <c r="Y2" s="1"/>
      <c r="Z2" s="1"/>
    </row>
    <row r="3" ht="14.25" customHeight="1">
      <c r="A3" s="1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37" t="s">
        <v>26</v>
      </c>
      <c r="C5" s="38" t="s">
        <v>27</v>
      </c>
      <c r="D5" s="1"/>
      <c r="E5" s="37" t="s">
        <v>28</v>
      </c>
      <c r="F5" s="39" t="s">
        <v>29</v>
      </c>
      <c r="G5" s="1"/>
      <c r="H5" s="37" t="s">
        <v>30</v>
      </c>
      <c r="I5" s="38" t="s">
        <v>31</v>
      </c>
      <c r="J5" s="1"/>
      <c r="K5" s="40" t="s">
        <v>32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1" t="s">
        <v>33</v>
      </c>
      <c r="C7" s="42"/>
      <c r="D7" s="27"/>
      <c r="E7" s="41" t="s">
        <v>34</v>
      </c>
      <c r="F7" s="42"/>
      <c r="G7" s="27"/>
      <c r="H7" s="41" t="s">
        <v>35</v>
      </c>
      <c r="I7" s="42"/>
      <c r="J7" s="27"/>
      <c r="K7" s="4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44">
        <f>'DASHBOARD V2 DATA'!$S$2</f>
        <v>4</v>
      </c>
      <c r="C8" s="45"/>
      <c r="D8" s="46"/>
      <c r="E8" s="47">
        <f>'DASHBOARD V2 DATA'!$T$2</f>
        <v>370000</v>
      </c>
      <c r="F8" s="45"/>
      <c r="G8" s="46"/>
      <c r="H8" s="47">
        <f>'DASHBOARD V2 DATA'!$U$2</f>
        <v>1</v>
      </c>
      <c r="I8" s="45"/>
      <c r="J8" s="46"/>
      <c r="K8" s="4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49"/>
      <c r="D9" s="34"/>
      <c r="E9" s="49"/>
      <c r="G9" s="34"/>
      <c r="H9" s="49"/>
      <c r="J9" s="3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50"/>
      <c r="C10" s="51"/>
      <c r="D10" s="52"/>
      <c r="E10" s="50"/>
      <c r="F10" s="51"/>
      <c r="G10" s="52"/>
      <c r="H10" s="50"/>
      <c r="I10" s="51"/>
      <c r="J10" s="5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41" t="s">
        <v>36</v>
      </c>
      <c r="C12" s="42"/>
      <c r="D12" s="27"/>
      <c r="E12" s="41" t="s">
        <v>37</v>
      </c>
      <c r="F12" s="42"/>
      <c r="G12" s="27"/>
      <c r="H12" s="41" t="s">
        <v>38</v>
      </c>
      <c r="I12" s="42"/>
      <c r="J12" s="27"/>
      <c r="K12" s="4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44">
        <f>'DASHBOARD V2 DATA'!$V$2</f>
        <v>3</v>
      </c>
      <c r="C13" s="45"/>
      <c r="D13" s="46"/>
      <c r="E13" s="47">
        <f>'DASHBOARD V2 DATA'!$W$2</f>
        <v>92500</v>
      </c>
      <c r="F13" s="45"/>
      <c r="G13" s="46"/>
      <c r="H13" s="44" t="str">
        <f>IF(C5="Semua Tahun","Semua Tahun",C5)&amp;" | "&amp;IF(F5="Semua Bulan","Semua Bulan",F5)&amp;" | "&amp;IF(I5="Semua Hari","Semua Hari",I5)</f>
        <v>Semua Tahun | Maret | Semua Hari</v>
      </c>
      <c r="I13" s="45"/>
      <c r="J13" s="46"/>
      <c r="K13" s="4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49"/>
      <c r="D14" s="34"/>
      <c r="E14" s="49"/>
      <c r="G14" s="34"/>
      <c r="H14" s="49"/>
      <c r="J14" s="3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50"/>
      <c r="C15" s="51"/>
      <c r="D15" s="52"/>
      <c r="E15" s="50"/>
      <c r="F15" s="51"/>
      <c r="G15" s="52"/>
      <c r="H15" s="50"/>
      <c r="I15" s="51"/>
      <c r="J15" s="5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3" t="s">
        <v>39</v>
      </c>
      <c r="C18" s="27"/>
      <c r="D18" s="1"/>
      <c r="E18" s="53" t="s">
        <v>40</v>
      </c>
      <c r="F18" s="42"/>
      <c r="G18" s="42"/>
      <c r="H18" s="42"/>
      <c r="I18" s="27"/>
      <c r="J18" s="1"/>
      <c r="K18" s="54"/>
      <c r="L18" s="5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56" t="s">
        <v>41</v>
      </c>
      <c r="C19" s="57" t="str">
        <f>C5</f>
        <v>Semua Tahun</v>
      </c>
      <c r="D19" s="1"/>
      <c r="E19" s="58" t="s">
        <v>42</v>
      </c>
      <c r="F19" s="58" t="s">
        <v>43</v>
      </c>
      <c r="G19" s="58" t="s">
        <v>44</v>
      </c>
      <c r="H19" s="58" t="s">
        <v>45</v>
      </c>
      <c r="I19" s="58" t="s">
        <v>46</v>
      </c>
      <c r="J19" s="59"/>
      <c r="K19" s="60"/>
      <c r="L19" s="6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6" t="s">
        <v>47</v>
      </c>
      <c r="C20" s="62" t="str">
        <f>F5</f>
        <v>Maret</v>
      </c>
      <c r="D20" s="1"/>
      <c r="E20" s="63">
        <f>IF('DASHBOARD V2 DATA'!$A$2="" ,"" ,'DASHBOARD V2 DATA'!$A$2)</f>
        <v>1</v>
      </c>
      <c r="F20" s="64" t="str">
        <f>IF($E20="" ,"" ,'DASHBOARD V2 DATA'!$B$2)</f>
        <v>Colic Relief Massage Baby (Pijat Kolik)</v>
      </c>
      <c r="G20" s="64" t="str">
        <f>IF($E20="" ,"" ,'DASHBOARD V2 DATA'!$C$2)</f>
        <v>BABY</v>
      </c>
      <c r="H20" s="64" t="str">
        <f>IF($E20="" ,"" ,'DASHBOARD V2 DATA'!$D$2)</f>
        <v>Inhouse</v>
      </c>
      <c r="I20" s="65">
        <f>IF($E20="" ,"" ,'DASHBOARD V2 DATA'!$E$2)</f>
        <v>1</v>
      </c>
      <c r="J20" s="59"/>
      <c r="K20" s="60"/>
      <c r="L20" s="6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6" t="s">
        <v>48</v>
      </c>
      <c r="C21" s="62" t="str">
        <f>I5</f>
        <v>Semua Hari</v>
      </c>
      <c r="D21" s="1"/>
      <c r="E21" s="63">
        <f>IF('DASHBOARD V2 DATA'!$A$3="" ,"" ,'DASHBOARD V2 DATA'!$A$3)</f>
        <v>2</v>
      </c>
      <c r="F21" s="64" t="str">
        <f>IF($E21="" ,"" ,'DASHBOARD V2 DATA'!$B$3)</f>
        <v>Healthy Breath Package (Paket Nafas Sehat)</v>
      </c>
      <c r="G21" s="64" t="str">
        <f>IF($E21="" ,"" ,'DASHBOARD V2 DATA'!$C$3)</f>
        <v>BABY</v>
      </c>
      <c r="H21" s="64" t="str">
        <f>IF($E21="" ,"" ,'DASHBOARD V2 DATA'!$D$3)</f>
        <v>Inhouse</v>
      </c>
      <c r="I21" s="65">
        <f>IF($E21="" ,"" ,'DASHBOARD V2 DATA'!$E$3)</f>
        <v>1</v>
      </c>
      <c r="J21" s="59"/>
      <c r="K21" s="60"/>
      <c r="L21" s="6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6"/>
      <c r="C22" s="66"/>
      <c r="D22" s="1"/>
      <c r="E22" s="63">
        <f>IF('DASHBOARD V2 DATA'!$A$4="" ,"" ,'DASHBOARD V2 DATA'!$A$4)</f>
        <v>3</v>
      </c>
      <c r="F22" s="64" t="str">
        <f>IF($E22="" ,"" ,'DASHBOARD V2 DATA'!$B$4)</f>
        <v>Newborn Starter Pack With Piercing (Paket Awal Kehidupan)</v>
      </c>
      <c r="G22" s="64" t="str">
        <f>IF($E22="" ,"" ,'DASHBOARD V2 DATA'!$C$4)</f>
        <v>BABY</v>
      </c>
      <c r="H22" s="64" t="str">
        <f>IF($E22="" ,"" ,'DASHBOARD V2 DATA'!$D$4)</f>
        <v>Inhouse</v>
      </c>
      <c r="I22" s="65">
        <f>IF($E22="" ,"" ,'DASHBOARD V2 DATA'!$E$4)</f>
        <v>1</v>
      </c>
      <c r="J22" s="59"/>
      <c r="K22" s="60"/>
      <c r="L22" s="6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6"/>
      <c r="C23" s="66"/>
      <c r="D23" s="1"/>
      <c r="E23" s="63">
        <f>IF('DASHBOARD V2 DATA'!$A$5="" ,"" ,'DASHBOARD V2 DATA'!$A$5)</f>
        <v>4</v>
      </c>
      <c r="F23" s="64" t="str">
        <f>IF($E23="" ,"" ,'DASHBOARD V2 DATA'!$B$5)</f>
        <v>Oxytocin Stimulation Massage HC (Pijat Oksitosin)</v>
      </c>
      <c r="G23" s="64" t="str">
        <f>IF($E23="" ,"" ,'DASHBOARD V2 DATA'!$C$5)</f>
        <v>HOMECARE MOM</v>
      </c>
      <c r="H23" s="64" t="str">
        <f>IF($E23="" ,"" ,'DASHBOARD V2 DATA'!$D$5)</f>
        <v>Homecare</v>
      </c>
      <c r="I23" s="67">
        <f>IF($E23="" ,"" ,'DASHBOARD V2 DATA'!$E$5)</f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63" t="str">
        <f>IF('DASHBOARD V2 DATA'!$A$6="" ,"" ,'DASHBOARD V2 DATA'!$A$6)</f>
        <v/>
      </c>
      <c r="F24" s="64" t="str">
        <f>IF($E24="" ,"" ,'DASHBOARD V2 DATA'!$B$6)</f>
        <v/>
      </c>
      <c r="G24" s="64" t="str">
        <f>IF($E24="" ,"" ,'DASHBOARD V2 DATA'!$C$6)</f>
        <v/>
      </c>
      <c r="H24" s="64" t="str">
        <f>IF($E24="" ,"" ,'DASHBOARD V2 DATA'!$D$6)</f>
        <v/>
      </c>
      <c r="I24" s="67" t="str">
        <f>IF($E24="" ,"" ,'DASHBOARD V2 DATA'!$E$6)</f>
        <v/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63" t="str">
        <f>IF('DASHBOARD V2 DATA'!$A$7="" ,"" ,'DASHBOARD V2 DATA'!$A$7)</f>
        <v/>
      </c>
      <c r="F25" s="64" t="str">
        <f>IF($E25="" ,"" ,'DASHBOARD V2 DATA'!$B$7)</f>
        <v/>
      </c>
      <c r="G25" s="64" t="str">
        <f>IF($E25="" ,"" ,'DASHBOARD V2 DATA'!$C$7)</f>
        <v/>
      </c>
      <c r="H25" s="64" t="str">
        <f>IF($E25="" ,"" ,'DASHBOARD V2 DATA'!$D$7)</f>
        <v/>
      </c>
      <c r="I25" s="67" t="str">
        <f>IF($E25="" ,"" ,'DASHBOARD V2 DATA'!$E$7)</f>
        <v/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63" t="str">
        <f>IF('DASHBOARD V2 DATA'!$A$8="" ,"" ,'DASHBOARD V2 DATA'!$A$8)</f>
        <v/>
      </c>
      <c r="F26" s="64" t="str">
        <f>IF($E26="" ,"" ,'DASHBOARD V2 DATA'!$B$8)</f>
        <v/>
      </c>
      <c r="G26" s="64" t="str">
        <f>IF($E26="" ,"" ,'DASHBOARD V2 DATA'!$C$8)</f>
        <v/>
      </c>
      <c r="H26" s="64" t="str">
        <f>IF($E26="" ,"" ,'DASHBOARD V2 DATA'!$D$8)</f>
        <v/>
      </c>
      <c r="I26" s="67" t="str">
        <f>IF($E26="" ,"" ,'DASHBOARD V2 DATA'!$E$8)</f>
        <v/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63" t="str">
        <f>IF('DASHBOARD V2 DATA'!$A$9="" ,"" ,'DASHBOARD V2 DATA'!$A$9)</f>
        <v/>
      </c>
      <c r="F27" s="64" t="str">
        <f>IF($E27="" ,"" ,'DASHBOARD V2 DATA'!$B$9)</f>
        <v/>
      </c>
      <c r="G27" s="64" t="str">
        <f>IF($E27="" ,"" ,'DASHBOARD V2 DATA'!$C$9)</f>
        <v/>
      </c>
      <c r="H27" s="64" t="str">
        <f>IF($E27="" ,"" ,'DASHBOARD V2 DATA'!$D$9)</f>
        <v/>
      </c>
      <c r="I27" s="67" t="str">
        <f>IF($E27="" ,"" ,'DASHBOARD V2 DATA'!$E$9)</f>
        <v/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63" t="str">
        <f>IF('DASHBOARD V2 DATA'!$A$10="" ,"" ,'DASHBOARD V2 DATA'!$A$10)</f>
        <v/>
      </c>
      <c r="F28" s="64" t="str">
        <f>IF($E28="" ,"" ,'DASHBOARD V2 DATA'!$B$10)</f>
        <v/>
      </c>
      <c r="G28" s="64" t="str">
        <f>IF($E28="" ,"" ,'DASHBOARD V2 DATA'!$C$10)</f>
        <v/>
      </c>
      <c r="H28" s="64" t="str">
        <f>IF($E28="" ,"" ,'DASHBOARD V2 DATA'!$D$10)</f>
        <v/>
      </c>
      <c r="I28" s="67" t="str">
        <f>IF($E28="" ,"" ,'DASHBOARD V2 DATA'!$E$10)</f>
        <v/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63" t="str">
        <f>IF('DASHBOARD V2 DATA'!$A$11="" ,"" ,'DASHBOARD V2 DATA'!$A$11)</f>
        <v/>
      </c>
      <c r="F29" s="64" t="str">
        <f>IF($E29="" ,"" ,'DASHBOARD V2 DATA'!$B$11)</f>
        <v/>
      </c>
      <c r="G29" s="64" t="str">
        <f>IF($E29="" ,"" ,'DASHBOARD V2 DATA'!$C$11)</f>
        <v/>
      </c>
      <c r="H29" s="64" t="str">
        <f>IF($E29="" ,"" ,'DASHBOARD V2 DATA'!$D$11)</f>
        <v/>
      </c>
      <c r="I29" s="67" t="str">
        <f>IF($E29="" ,"" ,'DASHBOARD V2 DATA'!$E$11)</f>
        <v/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8" t="s">
        <v>49</v>
      </c>
      <c r="D31" s="1"/>
      <c r="E31" s="1"/>
      <c r="F31" s="1"/>
      <c r="G31" s="1"/>
      <c r="H31" s="1"/>
      <c r="I31" s="1"/>
      <c r="J31" s="68" t="s">
        <v>50</v>
      </c>
      <c r="L31" s="1"/>
      <c r="M31" s="1"/>
      <c r="N31" s="1"/>
      <c r="O31" s="1"/>
      <c r="P31" s="1"/>
      <c r="Q31" s="1"/>
      <c r="R31" s="68" t="s">
        <v>51</v>
      </c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69" t="s">
        <v>52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2">
    <mergeCell ref="N1:O2"/>
    <mergeCell ref="P1:Q2"/>
    <mergeCell ref="R1:S2"/>
    <mergeCell ref="B2:L3"/>
    <mergeCell ref="K5:L6"/>
    <mergeCell ref="E7:G7"/>
    <mergeCell ref="H7:J7"/>
    <mergeCell ref="B13:D15"/>
    <mergeCell ref="E13:G15"/>
    <mergeCell ref="H13:J15"/>
    <mergeCell ref="B18:C18"/>
    <mergeCell ref="E18:I18"/>
    <mergeCell ref="B31:C31"/>
    <mergeCell ref="J31:K31"/>
    <mergeCell ref="R31:S31"/>
    <mergeCell ref="B7:D7"/>
    <mergeCell ref="B8:D10"/>
    <mergeCell ref="E8:G10"/>
    <mergeCell ref="H8:J10"/>
    <mergeCell ref="B12:D12"/>
    <mergeCell ref="E12:G12"/>
    <mergeCell ref="H12:J12"/>
  </mergeCells>
  <dataValidations>
    <dataValidation type="list" allowBlank="1" showErrorMessage="1" sqref="C5">
      <formula1>'DASHBOARD V2 DATA'!$Y$2:$Y$5</formula1>
    </dataValidation>
    <dataValidation type="list" allowBlank="1" showErrorMessage="1" sqref="F5">
      <formula1>"Semua Bulan,Januari,Februari,Maret,April,Mei,Juni,Juli,Agustus,September,Oktober,November,Desember"</formula1>
    </dataValidation>
    <dataValidation type="list" allowBlank="1" showErrorMessage="1" sqref="I5">
      <formula1>"Semua Hari,1,2,3,4,5,6,7,8,9,10,11,12,13,14,15,16,17,18,19,20,21,22,23,24,25,26,27,28,29,30,31"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.0"/>
    <col customWidth="1" min="2" max="2" width="27.57"/>
    <col customWidth="1" min="3" max="3" width="22.0"/>
    <col customWidth="1" min="4" max="4" width="17.57"/>
    <col customWidth="1" min="5" max="5" width="18.0"/>
    <col customWidth="1" min="6" max="6" width="22.0"/>
    <col customWidth="1" min="7" max="7" width="4.0"/>
    <col customWidth="1" min="8" max="8" width="28.86"/>
    <col customWidth="1" min="9" max="9" width="4.43"/>
    <col customWidth="1" min="10" max="10" width="22.86"/>
    <col customWidth="1" min="11" max="11" width="20.14"/>
  </cols>
  <sheetData>
    <row r="1" ht="21.75" customHeight="1">
      <c r="A1" s="1"/>
      <c r="B1" s="2" t="s">
        <v>0</v>
      </c>
      <c r="D1" s="5" t="s">
        <v>1</v>
      </c>
      <c r="E1" s="4"/>
      <c r="F1" s="3" t="s">
        <v>2</v>
      </c>
      <c r="G1" s="4"/>
      <c r="H1" s="3" t="s">
        <v>3</v>
      </c>
      <c r="I1" s="4"/>
      <c r="J1" s="3" t="s">
        <v>4</v>
      </c>
      <c r="K1" s="4"/>
      <c r="L1" s="3" t="s">
        <v>5</v>
      </c>
      <c r="M1" s="4"/>
      <c r="N1" s="3" t="s">
        <v>6</v>
      </c>
      <c r="O1" s="4"/>
      <c r="P1" s="3" t="s">
        <v>7</v>
      </c>
      <c r="Q1" s="4"/>
      <c r="R1" s="3" t="s">
        <v>8</v>
      </c>
      <c r="S1" s="4"/>
      <c r="T1" s="1"/>
      <c r="U1" s="1"/>
      <c r="V1" s="1"/>
      <c r="W1" s="1"/>
      <c r="X1" s="1"/>
      <c r="Y1" s="1"/>
      <c r="Z1" s="1"/>
    </row>
    <row r="2" ht="18.0" customHeight="1">
      <c r="A2" s="1"/>
      <c r="B2" s="6"/>
      <c r="D2" s="7"/>
      <c r="E2" s="8"/>
      <c r="F2" s="7"/>
      <c r="G2" s="8"/>
      <c r="H2" s="7"/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1"/>
      <c r="U2" s="1"/>
      <c r="V2" s="1"/>
      <c r="W2" s="1"/>
      <c r="X2" s="1"/>
      <c r="Y2" s="1"/>
      <c r="Z2" s="1"/>
    </row>
    <row r="3" ht="14.25" customHeight="1">
      <c r="A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70" t="s">
        <v>53</v>
      </c>
      <c r="D4" s="70" t="s">
        <v>54</v>
      </c>
      <c r="E4" s="70" t="s">
        <v>55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71" t="s">
        <v>56</v>
      </c>
      <c r="C5" s="72">
        <v>26.0</v>
      </c>
      <c r="D5" s="1">
        <v>3.0</v>
      </c>
      <c r="E5" s="1">
        <v>2026.0</v>
      </c>
      <c r="F5" s="1"/>
      <c r="G5" s="1"/>
      <c r="H5" s="73" t="s">
        <v>57</v>
      </c>
      <c r="I5" s="1"/>
      <c r="J5" s="73" t="s">
        <v>58</v>
      </c>
      <c r="K5" s="73" t="s">
        <v>59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4" t="s">
        <v>60</v>
      </c>
      <c r="C6" s="75" t="str">
        <f>D5&amp;"/"&amp;C5&amp;"/"&amp;E5</f>
        <v>3/26/2026</v>
      </c>
      <c r="D6" s="1"/>
      <c r="E6" s="74" t="s">
        <v>61</v>
      </c>
      <c r="F6" s="75"/>
      <c r="G6" s="1"/>
      <c r="H6" s="76" t="s">
        <v>62</v>
      </c>
      <c r="I6" s="1"/>
      <c r="J6" s="77"/>
      <c r="K6" s="7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4" t="s">
        <v>63</v>
      </c>
      <c r="C7" s="79"/>
      <c r="D7" s="1"/>
      <c r="E7" s="74" t="s">
        <v>64</v>
      </c>
      <c r="F7" s="75"/>
      <c r="G7" s="1"/>
      <c r="H7" s="76" t="s">
        <v>65</v>
      </c>
      <c r="I7" s="1"/>
      <c r="J7" s="80" t="str">
        <f t="array" ref="J7">IFERROR(XLOOKUP(C8,MASTER_LAYANAN!$C:$C,MASTER_LAYANAN!$B:$B,""),"")</f>
        <v/>
      </c>
      <c r="K7" s="8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4" t="s">
        <v>43</v>
      </c>
      <c r="C8" s="79"/>
      <c r="D8" s="1"/>
      <c r="E8" s="74" t="s">
        <v>66</v>
      </c>
      <c r="F8" s="75"/>
      <c r="G8" s="1"/>
      <c r="H8" s="76" t="s">
        <v>67</v>
      </c>
      <c r="I8" s="1"/>
      <c r="J8" s="80">
        <f t="array" ref="J8">IFERROR(XLOOKUP(C8,MASTER_LAYANAN!$C:$C,MASTER_LAYANAN!$D:$D,0),0)</f>
        <v>0</v>
      </c>
      <c r="K8" s="8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4" t="s">
        <v>68</v>
      </c>
      <c r="C9" s="83"/>
      <c r="D9" s="1"/>
      <c r="E9" s="74" t="s">
        <v>69</v>
      </c>
      <c r="F9" s="75"/>
      <c r="G9" s="1"/>
      <c r="H9" s="76" t="s">
        <v>70</v>
      </c>
      <c r="I9" s="1"/>
      <c r="J9" s="84">
        <f t="array" ref="J9">IFERROR(XLOOKUP(C8,MASTER_LAYANAN!$C:$C,MASTER_LAYANAN!$E:$E,0),0)</f>
        <v>0</v>
      </c>
      <c r="K9" s="8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76" t="s">
        <v>71</v>
      </c>
      <c r="I10" s="1"/>
      <c r="J10" s="84" t="str">
        <f t="array" ref="J10">IFERROR(IF(F9="","",IF(XLOOKUP(F9,MASTER_PROMO!$A:$A,MASTER_PROMO!$C:$C,"")="PERCENT",J9*XLOOKUP(F9,MASTER_PROMO!$A:$A,MASTER_PROMO!$D:$D,0)/100,_xludf.XLOOKUP(F9,MASTER_PROMO!$A:$A,MASTER_PROMO!$D:$D,0))),0)</f>
        <v/>
      </c>
      <c r="K10" s="8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71" t="s">
        <v>72</v>
      </c>
      <c r="C11" s="1"/>
      <c r="D11" s="1"/>
      <c r="E11" s="1"/>
      <c r="F11" s="1"/>
      <c r="G11" s="1"/>
      <c r="H11" s="76" t="s">
        <v>73</v>
      </c>
      <c r="I11" s="1"/>
      <c r="J11" s="84">
        <f t="array" ref="J11">IF(F6="Homecare",IFERROR(XLOOKUP(F8,MASTER_HOMECARE!$A:$A,MASTER_HOMECARE!$C:$C,0),0),0)</f>
        <v>0</v>
      </c>
      <c r="K11" s="8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74" t="s">
        <v>74</v>
      </c>
      <c r="C12" s="86"/>
      <c r="D12" s="27"/>
      <c r="E12" s="74" t="s">
        <v>75</v>
      </c>
      <c r="F12" s="86"/>
      <c r="G12" s="27"/>
      <c r="H12" s="76" t="s">
        <v>76</v>
      </c>
      <c r="I12" s="1"/>
      <c r="J12" s="87">
        <f>J9-J10+J11</f>
        <v>0</v>
      </c>
      <c r="K12" s="8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74" t="s">
        <v>77</v>
      </c>
      <c r="C13" s="86"/>
      <c r="D13" s="27"/>
      <c r="E13" s="74" t="s">
        <v>78</v>
      </c>
      <c r="F13" s="89"/>
      <c r="G13" s="27"/>
      <c r="H13" s="76" t="s">
        <v>79</v>
      </c>
      <c r="I13" s="1"/>
      <c r="J13" s="84">
        <f t="array" ref="J13">IFERROR(XLOOKUP(C8,MASTER_LAYANAN!$C:$C,MASTER_LAYANAN!$F:$F,0),0)*1000</f>
        <v>0</v>
      </c>
      <c r="K13" s="8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74" t="s">
        <v>80</v>
      </c>
      <c r="C14" s="86"/>
      <c r="D14" s="27"/>
      <c r="E14" s="74" t="s">
        <v>81</v>
      </c>
      <c r="F14" s="89"/>
      <c r="G14" s="27"/>
      <c r="H14" s="76" t="s">
        <v>82</v>
      </c>
      <c r="I14" s="1"/>
      <c r="J14" s="84">
        <f t="array" ref="J14">IFERROR(XLOOKUP(C8,MASTER_LAYANAN!$C:$C,MASTER_LAYANAN!$G:$G,0),0)*1000</f>
        <v>0</v>
      </c>
      <c r="K14" s="8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74" t="s">
        <v>83</v>
      </c>
      <c r="C15" s="89"/>
      <c r="D15" s="27"/>
      <c r="E15" s="74" t="s">
        <v>84</v>
      </c>
      <c r="F15" s="89"/>
      <c r="G15" s="27"/>
      <c r="H15" s="76" t="s">
        <v>85</v>
      </c>
      <c r="I15" s="1"/>
      <c r="J15" s="84">
        <f>MAX(0,J12-C16)</f>
        <v>0</v>
      </c>
      <c r="K15" s="8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74" t="s">
        <v>86</v>
      </c>
      <c r="C16" s="90"/>
      <c r="D16" s="1"/>
      <c r="E16" s="74" t="s">
        <v>87</v>
      </c>
      <c r="F16" s="72"/>
      <c r="G16" s="1"/>
      <c r="H16" s="76" t="s">
        <v>88</v>
      </c>
      <c r="I16" s="1"/>
      <c r="J16" s="78"/>
      <c r="K16" s="7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76" t="s">
        <v>60</v>
      </c>
      <c r="I17" s="1"/>
      <c r="J17" s="78"/>
      <c r="K17" s="7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91" t="s">
        <v>89</v>
      </c>
      <c r="C18" s="92"/>
      <c r="D18" s="93"/>
      <c r="E18" s="1"/>
      <c r="F18" s="1"/>
      <c r="G18" s="1"/>
      <c r="H18" s="94" t="s">
        <v>90</v>
      </c>
      <c r="I18" s="95"/>
      <c r="J18" s="96" t="s">
        <v>91</v>
      </c>
      <c r="K18" s="9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98" t="s">
        <v>92</v>
      </c>
      <c r="C19" s="98" t="s">
        <v>93</v>
      </c>
      <c r="D19" s="99" t="s">
        <v>94</v>
      </c>
      <c r="E19" s="1"/>
      <c r="F19" s="1"/>
      <c r="G19" s="1"/>
      <c r="H19" s="1"/>
      <c r="I19" s="9"/>
      <c r="J19" s="1"/>
      <c r="K19" s="10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01"/>
      <c r="C20" s="101"/>
      <c r="D20" s="101"/>
      <c r="E20" s="1"/>
      <c r="F20" s="1"/>
      <c r="G20" s="1"/>
      <c r="H20" s="102" t="s">
        <v>95</v>
      </c>
      <c r="I20" s="95"/>
      <c r="J20" s="103" t="s">
        <v>96</v>
      </c>
      <c r="K20" s="9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72"/>
      <c r="C21" s="72"/>
      <c r="D21" s="72"/>
      <c r="E21" s="1"/>
      <c r="F21" s="1"/>
      <c r="G21" s="1"/>
      <c r="H21" s="1"/>
      <c r="I21" s="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04" t="s">
        <v>97</v>
      </c>
      <c r="I22" s="1"/>
      <c r="J22" s="105" t="s">
        <v>98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94" t="s">
        <v>99</v>
      </c>
      <c r="I24" s="95"/>
      <c r="J24" s="96" t="s">
        <v>100</v>
      </c>
      <c r="K24" s="9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"/>
      <c r="B25" s="9"/>
      <c r="C25" s="9"/>
      <c r="D25" s="9"/>
      <c r="E25" s="9"/>
      <c r="F25" s="9"/>
      <c r="G25" s="9"/>
      <c r="H25" s="106"/>
      <c r="I25" s="9"/>
      <c r="J25" s="107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"/>
      <c r="B26" s="1"/>
      <c r="C26" s="1"/>
      <c r="D26" s="1"/>
      <c r="E26" s="1"/>
      <c r="F26" s="1"/>
      <c r="G26" s="1"/>
      <c r="H26" s="108" t="s">
        <v>101</v>
      </c>
      <c r="I26" s="1"/>
      <c r="J26" s="109" t="s">
        <v>102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08" t="s">
        <v>103</v>
      </c>
      <c r="I27" s="1"/>
      <c r="J27" s="110" t="s">
        <v>104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F1:G2"/>
    <mergeCell ref="H1:I2"/>
    <mergeCell ref="J1:K2"/>
    <mergeCell ref="L1:M2"/>
    <mergeCell ref="N1:O2"/>
    <mergeCell ref="P1:Q2"/>
    <mergeCell ref="R1:S2"/>
    <mergeCell ref="F14:G14"/>
    <mergeCell ref="F15:G15"/>
    <mergeCell ref="B18:D18"/>
    <mergeCell ref="B19:B20"/>
    <mergeCell ref="C19:C20"/>
    <mergeCell ref="D19:D20"/>
    <mergeCell ref="D1:E2"/>
    <mergeCell ref="C12:D12"/>
    <mergeCell ref="F12:G12"/>
    <mergeCell ref="C13:D13"/>
    <mergeCell ref="F13:G13"/>
    <mergeCell ref="C14:D14"/>
    <mergeCell ref="C15:D15"/>
  </mergeCells>
  <dataValidations>
    <dataValidation type="list" allowBlank="1" showErrorMessage="1" sqref="F9">
      <formula1>MASTER_PROMO!$A$2:$A$25</formula1>
    </dataValidation>
    <dataValidation type="list" allowBlank="1" showErrorMessage="1" sqref="D5">
      <formula1>MASTER_TANGGAL!$B$2:$B$32</formula1>
    </dataValidation>
    <dataValidation type="list" allowBlank="1" showErrorMessage="1" sqref="C5">
      <formula1>MASTER_TANGGAL!$A$2:$A$32</formula1>
    </dataValidation>
    <dataValidation type="list" allowBlank="1" showErrorMessage="1" sqref="F6">
      <formula1>"Inhouse,Homecare"</formula1>
    </dataValidation>
    <dataValidation type="date" operator="greaterThanOrEqual" allowBlank="1" sqref="C6">
      <formula1>TODAY()</formula1>
    </dataValidation>
    <dataValidation type="list" allowBlank="1" showErrorMessage="1" sqref="F8">
      <formula1>MASTER_HOMECARE!$A$2:$A$20</formula1>
    </dataValidation>
    <dataValidation type="list" allowBlank="1" showErrorMessage="1" sqref="C9">
      <formula1>'JADWAL HARIAN'!$B$8:$B$200</formula1>
    </dataValidation>
    <dataValidation type="list" allowBlank="1" showErrorMessage="1" sqref="C7">
      <formula1>MASTER_TERAPIS!$I:$I</formula1>
    </dataValidation>
    <dataValidation type="list" allowBlank="1" showErrorMessage="1" sqref="C8">
      <formula1>MASTER_LAYANAN!$C:$C</formula1>
    </dataValidation>
    <dataValidation type="list" allowBlank="1" showErrorMessage="1" sqref="F7">
      <formula1>"Active,Draft"</formula1>
    </dataValidation>
    <dataValidation type="list" allowBlank="1" showErrorMessage="1" sqref="E5">
      <formula1>MASTER_TANGGAL!$C$2:$C$32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2.0"/>
    <col customWidth="1" min="3" max="3" width="18.0"/>
    <col customWidth="1" min="4" max="8" width="20.71"/>
  </cols>
  <sheetData>
    <row r="1" ht="21.75" customHeight="1">
      <c r="A1" s="1"/>
      <c r="B1" s="2" t="s">
        <v>0</v>
      </c>
      <c r="D1" s="2" t="s">
        <v>1</v>
      </c>
      <c r="F1" s="2" t="s">
        <v>2</v>
      </c>
      <c r="H1" s="2" t="s">
        <v>3</v>
      </c>
      <c r="J1" s="3" t="s">
        <v>4</v>
      </c>
      <c r="K1" s="4"/>
      <c r="L1" s="3" t="s">
        <v>5</v>
      </c>
      <c r="M1" s="4"/>
      <c r="N1" s="3" t="s">
        <v>6</v>
      </c>
      <c r="O1" s="4"/>
      <c r="P1" s="5" t="s">
        <v>7</v>
      </c>
      <c r="Q1" s="4"/>
      <c r="R1" s="3" t="s">
        <v>8</v>
      </c>
      <c r="S1" s="4"/>
      <c r="T1" s="1"/>
      <c r="U1" s="1"/>
      <c r="V1" s="1"/>
      <c r="W1" s="1"/>
      <c r="X1" s="1"/>
      <c r="Y1" s="1"/>
      <c r="Z1" s="1"/>
    </row>
    <row r="2" ht="18.0" customHeight="1">
      <c r="A2" s="1"/>
      <c r="B2" s="33"/>
      <c r="H2" s="34"/>
      <c r="J2" s="7"/>
      <c r="K2" s="8"/>
      <c r="L2" s="7"/>
      <c r="M2" s="8"/>
      <c r="N2" s="7"/>
      <c r="O2" s="8"/>
      <c r="P2" s="7"/>
      <c r="Q2" s="8"/>
      <c r="R2" s="7"/>
      <c r="S2" s="8"/>
      <c r="T2" s="1"/>
      <c r="U2" s="1"/>
      <c r="V2" s="1"/>
      <c r="W2" s="1"/>
      <c r="X2" s="1"/>
      <c r="Y2" s="1"/>
      <c r="Z2" s="1"/>
    </row>
    <row r="3" ht="14.25" customHeight="1">
      <c r="A3" s="1"/>
      <c r="B3" s="35"/>
      <c r="C3" s="35"/>
      <c r="D3" s="35"/>
      <c r="E3" s="35"/>
      <c r="F3" s="35"/>
      <c r="G3" s="35"/>
      <c r="H3" s="3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11" t="s">
        <v>105</v>
      </c>
      <c r="E4" s="111" t="s">
        <v>106</v>
      </c>
      <c r="F4" s="111" t="s">
        <v>107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4" t="s">
        <v>108</v>
      </c>
      <c r="C5" s="112" t="str">
        <f>D5&amp;"-"&amp;E5&amp;"-"&amp;F5</f>
        <v>26-3-2026</v>
      </c>
      <c r="D5" s="72">
        <v>26.0</v>
      </c>
      <c r="E5" s="1">
        <v>3.0</v>
      </c>
      <c r="F5" s="1">
        <v>2026.0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8" t="s">
        <v>109</v>
      </c>
      <c r="C7" s="28" t="str">
        <f>IF(MASTER_TERAPIS!D2="YA",MASTER_TERAPIS!B2)</f>
        <v>bababab</v>
      </c>
      <c r="D7" s="28" t="str">
        <f>IF(MASTER_TERAPIS!D3="YA",MASTER_TERAPIS!B3)</f>
        <v>Caccaca</v>
      </c>
      <c r="E7" s="28" t="str">
        <f>IF(MASTER_TERAPIS!D4="YA",MASTER_TERAPIS!B4)</f>
        <v>ggagaga</v>
      </c>
      <c r="F7" s="28" t="str">
        <f>IF(MASTER_TERAPIS!D5="YA",MASTER_TERAPIS!B5)</f>
        <v>hahaha</v>
      </c>
      <c r="G7" s="28" t="b">
        <f>IF(MASTER_TERAPIS!D6="YA",MASTER_TERAPIS!B6)</f>
        <v>0</v>
      </c>
      <c r="H7" s="28" t="b">
        <f>IF(MASTER_TERAPIS!D7="YA",MASTER_TERAPIS!B7)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13">
        <v>0.3333333333333333</v>
      </c>
      <c r="C8" s="66" t="str">
        <f t="array" ref="C8">IFERROR(INDEX(TRANSAKSI_LOG!$M$2:$M$998,MATCH(1,INDEX((TRANSAKSI_LOG!$C$2:$C$998=$C$5)*(TRANSAKSI_LOG!$J$2:$J$998=C$7)*(TRANSAKSI_LOG!$E$2:$E$998&lt;=$B8)*(TRANSAKSI_LOG!$F$2:$F$998&gt;=$B8),0),0)) &amp; " - " &amp; INDEX(TRANSAKSI_LOG!$H$2:$H$998,MATCH(1,INDEX((TRANSAKSI_LOG!$C$2:$C$998=$C$5)*(TRANSAKSI_LOG!$J$2:$J$998=C$7)*(TRANSAKSI_LOG!$E$2:$E$998&lt;=$B8)*(TRANSAKSI_LOG!$F$2:$F$998&gt;=$B8),0),0)),"")</f>
        <v/>
      </c>
      <c r="D8" s="66" t="str">
        <f t="array" ref="D8">IFERROR(INDEX(TRANSAKSI_LOG!$M$2:$M$998,MATCH(1,INDEX((TRANSAKSI_LOG!$C$2:$C$998=$C$5)*(TRANSAKSI_LOG!$J$2:$J$998=D$7)*(TRANSAKSI_LOG!$E$2:$E$998&lt;=$B8)*(TRANSAKSI_LOG!$F$2:$F$998&gt;=$B8),0),0)) &amp; " - " &amp; INDEX(TRANSAKSI_LOG!$H$2:$H$998,MATCH(1,INDEX((TRANSAKSI_LOG!$C$2:$C$998=$C$5)*(TRANSAKSI_LOG!$J$2:$J$998=D$7)*(TRANSAKSI_LOG!$E$2:$E$998&lt;=$B8)*(TRANSAKSI_LOG!$F$2:$F$998&gt;=$B8),0),0)),"")</f>
        <v/>
      </c>
      <c r="E8" s="66" t="str">
        <f t="array" ref="E8">IFERROR(INDEX(TRANSAKSI_LOG!$M$2:$M$998,MATCH(1,INDEX((TRANSAKSI_LOG!$C$2:$C$998=$C$5)*(TRANSAKSI_LOG!$J$2:$J$998=E$7)*(TRANSAKSI_LOG!$E$2:$E$998&lt;=$B8)*(TRANSAKSI_LOG!$F$2:$F$998&gt;=$B8),0),0)) &amp; " - " &amp; INDEX(TRANSAKSI_LOG!$H$2:$H$998,MATCH(1,INDEX((TRANSAKSI_LOG!$C$2:$C$998=$C$5)*(TRANSAKSI_LOG!$J$2:$J$998=E$7)*(TRANSAKSI_LOG!$E$2:$E$998&lt;=$B8)*(TRANSAKSI_LOG!$F$2:$F$998&gt;=$B8),0),0)),"")</f>
        <v/>
      </c>
      <c r="F8" s="66" t="str">
        <f t="array" ref="F8">IFERROR(INDEX(TRANSAKSI_LOG!$M$2:$M$998,MATCH(1,INDEX((TRANSAKSI_LOG!$C$2:$C$998=$C$5)*(TRANSAKSI_LOG!$J$2:$J$998=F$7)*(TRANSAKSI_LOG!$E$2:$E$998&lt;=$B8)*(TRANSAKSI_LOG!$F$2:$F$998&gt;=$B8),0),0)) &amp; " - " &amp; INDEX(TRANSAKSI_LOG!$H$2:$H$998,MATCH(1,INDEX((TRANSAKSI_LOG!$C$2:$C$998=$C$5)*(TRANSAKSI_LOG!$J$2:$J$998=F$7)*(TRANSAKSI_LOG!$E$2:$E$998&lt;=$B8)*(TRANSAKSI_LOG!$F$2:$F$998&gt;=$B8),0),0)),"")</f>
        <v/>
      </c>
      <c r="G8" s="66" t="str">
        <f t="array" ref="G8">IFERROR(INDEX(TRANSAKSI_LOG!$M$2:$M$998,MATCH(1,INDEX((TRANSAKSI_LOG!$C$2:$C$998=$C$5)*(TRANSAKSI_LOG!$J$2:$J$998=G$7)*(TRANSAKSI_LOG!$E$2:$E$998&lt;=$B8)*(TRANSAKSI_LOG!$F$2:$F$998&gt;=$B8),0),0)) &amp; " - " &amp; INDEX(TRANSAKSI_LOG!$H$2:$H$998,MATCH(1,INDEX((TRANSAKSI_LOG!$C$2:$C$998=$C$5)*(TRANSAKSI_LOG!$J$2:$J$998=G$7)*(TRANSAKSI_LOG!$E$2:$E$998&lt;=$B8)*(TRANSAKSI_LOG!$F$2:$F$998&gt;=$B8),0),0)),"")</f>
        <v/>
      </c>
      <c r="H8" s="66" t="str">
        <f t="array" ref="H8">IFERROR(INDEX(TRANSAKSI_LOG!$M$2:$M$998,MATCH(1,INDEX((TRANSAKSI_LOG!$C$2:$C$998=$C$5)*(TRANSAKSI_LOG!$J$2:$J$998=H$7)*(TRANSAKSI_LOG!$E$2:$E$998&lt;=$B8)*(TRANSAKSI_LOG!$F$2:$F$998&gt;=$B8),0),0)) &amp; " - " &amp; INDEX(TRANSAKSI_LOG!$H$2:$H$998,MATCH(1,INDEX((TRANSAKSI_LOG!$C$2:$C$998=$C$5)*(TRANSAKSI_LOG!$J$2:$J$998=H$7)*(TRANSAKSI_LOG!$E$2:$E$998&lt;=$B8)*(TRANSAKSI_LOG!$F$2:$F$998&gt;=$B8),0),0)),"")</f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13">
        <v>0.3368055555555556</v>
      </c>
      <c r="C9" s="66" t="str">
        <f t="array" ref="C9">IFERROR(INDEX(TRANSAKSI_LOG!$M$2:$M$998,MATCH(1,INDEX((TRANSAKSI_LOG!$C$2:$C$998=$C$5)*(TRANSAKSI_LOG!$J$2:$J$998=C$7)*(TRANSAKSI_LOG!$E$2:$E$998&lt;=$B9)*(TRANSAKSI_LOG!$F$2:$F$998&gt;=$B9),0),0)) &amp; " - " &amp; INDEX(TRANSAKSI_LOG!$H$2:$H$998,MATCH(1,INDEX((TRANSAKSI_LOG!$C$2:$C$998=$C$5)*(TRANSAKSI_LOG!$J$2:$J$998=C$7)*(TRANSAKSI_LOG!$E$2:$E$998&lt;=$B9)*(TRANSAKSI_LOG!$F$2:$F$998&gt;=$B9),0),0)),"")</f>
        <v/>
      </c>
      <c r="D9" s="66" t="str">
        <f t="array" ref="D9">IFERROR(INDEX(TRANSAKSI_LOG!$M$2:$M$998,MATCH(1,INDEX((TRANSAKSI_LOG!$C$2:$C$998=$C$5)*(TRANSAKSI_LOG!$J$2:$J$998=D$7)*(TRANSAKSI_LOG!$E$2:$E$998&lt;=$B9)*(TRANSAKSI_LOG!$F$2:$F$998&gt;=$B9),0),0)) &amp; " - " &amp; INDEX(TRANSAKSI_LOG!$H$2:$H$998,MATCH(1,INDEX((TRANSAKSI_LOG!$C$2:$C$998=$C$5)*(TRANSAKSI_LOG!$J$2:$J$998=D$7)*(TRANSAKSI_LOG!$E$2:$E$998&lt;=$B9)*(TRANSAKSI_LOG!$F$2:$F$998&gt;=$B9),0),0)),"")</f>
        <v/>
      </c>
      <c r="E9" s="66" t="str">
        <f t="array" ref="E9">IFERROR(INDEX(TRANSAKSI_LOG!$M$2:$M$998,MATCH(1,INDEX((TRANSAKSI_LOG!$C$2:$C$998=$C$5)*(TRANSAKSI_LOG!$J$2:$J$998=E$7)*(TRANSAKSI_LOG!$E$2:$E$998&lt;=$B9)*(TRANSAKSI_LOG!$F$2:$F$998&gt;=$B9),0),0)) &amp; " - " &amp; INDEX(TRANSAKSI_LOG!$H$2:$H$998,MATCH(1,INDEX((TRANSAKSI_LOG!$C$2:$C$998=$C$5)*(TRANSAKSI_LOG!$J$2:$J$998=E$7)*(TRANSAKSI_LOG!$E$2:$E$998&lt;=$B9)*(TRANSAKSI_LOG!$F$2:$F$998&gt;=$B9),0),0)),"")</f>
        <v/>
      </c>
      <c r="F9" s="66" t="str">
        <f t="array" ref="F9">IFERROR(INDEX(TRANSAKSI_LOG!$M$2:$M$998,MATCH(1,INDEX((TRANSAKSI_LOG!$C$2:$C$998=$C$5)*(TRANSAKSI_LOG!$J$2:$J$998=F$7)*(TRANSAKSI_LOG!$E$2:$E$998&lt;=$B9)*(TRANSAKSI_LOG!$F$2:$F$998&gt;=$B9),0),0)) &amp; " - " &amp; INDEX(TRANSAKSI_LOG!$H$2:$H$998,MATCH(1,INDEX((TRANSAKSI_LOG!$C$2:$C$998=$C$5)*(TRANSAKSI_LOG!$J$2:$J$998=F$7)*(TRANSAKSI_LOG!$E$2:$E$998&lt;=$B9)*(TRANSAKSI_LOG!$F$2:$F$998&gt;=$B9),0),0)),"")</f>
        <v/>
      </c>
      <c r="G9" s="66" t="str">
        <f t="array" ref="G9">IFERROR(INDEX(TRANSAKSI_LOG!$M$2:$M$998,MATCH(1,INDEX((TRANSAKSI_LOG!$C$2:$C$998=$C$5)*(TRANSAKSI_LOG!$J$2:$J$998=G$7)*(TRANSAKSI_LOG!$E$2:$E$998&lt;=$B9)*(TRANSAKSI_LOG!$F$2:$F$998&gt;=$B9),0),0)) &amp; " - " &amp; INDEX(TRANSAKSI_LOG!$H$2:$H$998,MATCH(1,INDEX((TRANSAKSI_LOG!$C$2:$C$998=$C$5)*(TRANSAKSI_LOG!$J$2:$J$998=G$7)*(TRANSAKSI_LOG!$E$2:$E$998&lt;=$B9)*(TRANSAKSI_LOG!$F$2:$F$998&gt;=$B9),0),0)),"")</f>
        <v/>
      </c>
      <c r="H9" s="66" t="str">
        <f t="array" ref="H9">IFERROR(INDEX(TRANSAKSI_LOG!$M$2:$M$998,MATCH(1,INDEX((TRANSAKSI_LOG!$C$2:$C$998=$C$5)*(TRANSAKSI_LOG!$J$2:$J$998=H$7)*(TRANSAKSI_LOG!$E$2:$E$998&lt;=$B9)*(TRANSAKSI_LOG!$F$2:$F$998&gt;=$B9),0),0)) &amp; " - " &amp; INDEX(TRANSAKSI_LOG!$H$2:$H$998,MATCH(1,INDEX((TRANSAKSI_LOG!$C$2:$C$998=$C$5)*(TRANSAKSI_LOG!$J$2:$J$998=H$7)*(TRANSAKSI_LOG!$E$2:$E$998&lt;=$B9)*(TRANSAKSI_LOG!$F$2:$F$998&gt;=$B9),0),0)),"")</f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13">
        <v>0.3402777777777778</v>
      </c>
      <c r="C10" s="66" t="str">
        <f t="array" ref="C10">IFERROR(INDEX(TRANSAKSI_LOG!$M$2:$M$998,MATCH(1,INDEX((TRANSAKSI_LOG!$C$2:$C$998=$C$5)*(TRANSAKSI_LOG!$J$2:$J$998=C$7)*(TRANSAKSI_LOG!$E$2:$E$998&lt;=$B10)*(TRANSAKSI_LOG!$F$2:$F$998&gt;=$B10),0),0)) &amp; " - " &amp; INDEX(TRANSAKSI_LOG!$H$2:$H$998,MATCH(1,INDEX((TRANSAKSI_LOG!$C$2:$C$998=$C$5)*(TRANSAKSI_LOG!$J$2:$J$998=C$7)*(TRANSAKSI_LOG!$E$2:$E$998&lt;=$B10)*(TRANSAKSI_LOG!$F$2:$F$998&gt;=$B10),0),0)),"")</f>
        <v/>
      </c>
      <c r="D10" s="66" t="str">
        <f t="array" ref="D10">IFERROR(INDEX(TRANSAKSI_LOG!$M$2:$M$998,MATCH(1,INDEX((TRANSAKSI_LOG!$C$2:$C$998=$C$5)*(TRANSAKSI_LOG!$J$2:$J$998=D$7)*(TRANSAKSI_LOG!$E$2:$E$998&lt;=$B10)*(TRANSAKSI_LOG!$F$2:$F$998&gt;=$B10),0),0)) &amp; " - " &amp; INDEX(TRANSAKSI_LOG!$H$2:$H$998,MATCH(1,INDEX((TRANSAKSI_LOG!$C$2:$C$998=$C$5)*(TRANSAKSI_LOG!$J$2:$J$998=D$7)*(TRANSAKSI_LOG!$E$2:$E$998&lt;=$B10)*(TRANSAKSI_LOG!$F$2:$F$998&gt;=$B10),0),0)),"")</f>
        <v/>
      </c>
      <c r="E10" s="66" t="str">
        <f t="array" ref="E10">IFERROR(INDEX(TRANSAKSI_LOG!$M$2:$M$998,MATCH(1,INDEX((TRANSAKSI_LOG!$C$2:$C$998=$C$5)*(TRANSAKSI_LOG!$J$2:$J$998=E$7)*(TRANSAKSI_LOG!$E$2:$E$998&lt;=$B10)*(TRANSAKSI_LOG!$F$2:$F$998&gt;=$B10),0),0)) &amp; " - " &amp; INDEX(TRANSAKSI_LOG!$H$2:$H$998,MATCH(1,INDEX((TRANSAKSI_LOG!$C$2:$C$998=$C$5)*(TRANSAKSI_LOG!$J$2:$J$998=E$7)*(TRANSAKSI_LOG!$E$2:$E$998&lt;=$B10)*(TRANSAKSI_LOG!$F$2:$F$998&gt;=$B10),0),0)),"")</f>
        <v/>
      </c>
      <c r="F10" s="66" t="str">
        <f t="array" ref="F10">IFERROR(INDEX(TRANSAKSI_LOG!$M$2:$M$998,MATCH(1,INDEX((TRANSAKSI_LOG!$C$2:$C$998=$C$5)*(TRANSAKSI_LOG!$J$2:$J$998=F$7)*(TRANSAKSI_LOG!$E$2:$E$998&lt;=$B10)*(TRANSAKSI_LOG!$F$2:$F$998&gt;=$B10),0),0)) &amp; " - " &amp; INDEX(TRANSAKSI_LOG!$H$2:$H$998,MATCH(1,INDEX((TRANSAKSI_LOG!$C$2:$C$998=$C$5)*(TRANSAKSI_LOG!$J$2:$J$998=F$7)*(TRANSAKSI_LOG!$E$2:$E$998&lt;=$B10)*(TRANSAKSI_LOG!$F$2:$F$998&gt;=$B10),0),0)),"")</f>
        <v/>
      </c>
      <c r="G10" s="66" t="str">
        <f t="array" ref="G10">IFERROR(INDEX(TRANSAKSI_LOG!$M$2:$M$998,MATCH(1,INDEX((TRANSAKSI_LOG!$C$2:$C$998=$C$5)*(TRANSAKSI_LOG!$J$2:$J$998=G$7)*(TRANSAKSI_LOG!$E$2:$E$998&lt;=$B10)*(TRANSAKSI_LOG!$F$2:$F$998&gt;=$B10),0),0)) &amp; " - " &amp; INDEX(TRANSAKSI_LOG!$H$2:$H$998,MATCH(1,INDEX((TRANSAKSI_LOG!$C$2:$C$998=$C$5)*(TRANSAKSI_LOG!$J$2:$J$998=G$7)*(TRANSAKSI_LOG!$E$2:$E$998&lt;=$B10)*(TRANSAKSI_LOG!$F$2:$F$998&gt;=$B10),0),0)),"")</f>
        <v/>
      </c>
      <c r="H10" s="66" t="str">
        <f t="array" ref="H10">IFERROR(INDEX(TRANSAKSI_LOG!$M$2:$M$998,MATCH(1,INDEX((TRANSAKSI_LOG!$C$2:$C$998=$C$5)*(TRANSAKSI_LOG!$J$2:$J$998=H$7)*(TRANSAKSI_LOG!$E$2:$E$998&lt;=$B10)*(TRANSAKSI_LOG!$F$2:$F$998&gt;=$B10),0),0)) &amp; " - " &amp; INDEX(TRANSAKSI_LOG!$H$2:$H$998,MATCH(1,INDEX((TRANSAKSI_LOG!$C$2:$C$998=$C$5)*(TRANSAKSI_LOG!$J$2:$J$998=H$7)*(TRANSAKSI_LOG!$E$2:$E$998&lt;=$B10)*(TRANSAKSI_LOG!$F$2:$F$998&gt;=$B10),0),0)),"")</f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13">
        <v>0.34375</v>
      </c>
      <c r="C11" s="66" t="str">
        <f t="array" ref="C11">IFERROR(INDEX(TRANSAKSI_LOG!$M$2:$M$998,MATCH(1,INDEX((TRANSAKSI_LOG!$C$2:$C$998=$C$5)*(TRANSAKSI_LOG!$J$2:$J$998=C$7)*(TRANSAKSI_LOG!$E$2:$E$998&lt;=$B11)*(TRANSAKSI_LOG!$F$2:$F$998&gt;=$B11),0),0)) &amp; " - " &amp; INDEX(TRANSAKSI_LOG!$H$2:$H$998,MATCH(1,INDEX((TRANSAKSI_LOG!$C$2:$C$998=$C$5)*(TRANSAKSI_LOG!$J$2:$J$998=C$7)*(TRANSAKSI_LOG!$E$2:$E$998&lt;=$B11)*(TRANSAKSI_LOG!$F$2:$F$998&gt;=$B11),0),0)),"")</f>
        <v/>
      </c>
      <c r="D11" s="66" t="str">
        <f t="array" ref="D11">IFERROR(INDEX(TRANSAKSI_LOG!$M$2:$M$998,MATCH(1,INDEX((TRANSAKSI_LOG!$C$2:$C$998=$C$5)*(TRANSAKSI_LOG!$J$2:$J$998=D$7)*(TRANSAKSI_LOG!$E$2:$E$998&lt;=$B11)*(TRANSAKSI_LOG!$F$2:$F$998&gt;=$B11),0),0)) &amp; " - " &amp; INDEX(TRANSAKSI_LOG!$H$2:$H$998,MATCH(1,INDEX((TRANSAKSI_LOG!$C$2:$C$998=$C$5)*(TRANSAKSI_LOG!$J$2:$J$998=D$7)*(TRANSAKSI_LOG!$E$2:$E$998&lt;=$B11)*(TRANSAKSI_LOG!$F$2:$F$998&gt;=$B11),0),0)),"")</f>
        <v/>
      </c>
      <c r="E11" s="66" t="str">
        <f t="array" ref="E11">IFERROR(INDEX(TRANSAKSI_LOG!$M$2:$M$998,MATCH(1,INDEX((TRANSAKSI_LOG!$C$2:$C$998=$C$5)*(TRANSAKSI_LOG!$J$2:$J$998=E$7)*(TRANSAKSI_LOG!$E$2:$E$998&lt;=$B11)*(TRANSAKSI_LOG!$F$2:$F$998&gt;=$B11),0),0)) &amp; " - " &amp; INDEX(TRANSAKSI_LOG!$H$2:$H$998,MATCH(1,INDEX((TRANSAKSI_LOG!$C$2:$C$998=$C$5)*(TRANSAKSI_LOG!$J$2:$J$998=E$7)*(TRANSAKSI_LOG!$E$2:$E$998&lt;=$B11)*(TRANSAKSI_LOG!$F$2:$F$998&gt;=$B11),0),0)),"")</f>
        <v/>
      </c>
      <c r="F11" s="66" t="str">
        <f t="array" ref="F11">IFERROR(INDEX(TRANSAKSI_LOG!$M$2:$M$998,MATCH(1,INDEX((TRANSAKSI_LOG!$C$2:$C$998=$C$5)*(TRANSAKSI_LOG!$J$2:$J$998=F$7)*(TRANSAKSI_LOG!$E$2:$E$998&lt;=$B11)*(TRANSAKSI_LOG!$F$2:$F$998&gt;=$B11),0),0)) &amp; " - " &amp; INDEX(TRANSAKSI_LOG!$H$2:$H$998,MATCH(1,INDEX((TRANSAKSI_LOG!$C$2:$C$998=$C$5)*(TRANSAKSI_LOG!$J$2:$J$998=F$7)*(TRANSAKSI_LOG!$E$2:$E$998&lt;=$B11)*(TRANSAKSI_LOG!$F$2:$F$998&gt;=$B11),0),0)),"")</f>
        <v/>
      </c>
      <c r="G11" s="66" t="str">
        <f t="array" ref="G11">IFERROR(INDEX(TRANSAKSI_LOG!$M$2:$M$998,MATCH(1,INDEX((TRANSAKSI_LOG!$C$2:$C$998=$C$5)*(TRANSAKSI_LOG!$J$2:$J$998=G$7)*(TRANSAKSI_LOG!$E$2:$E$998&lt;=$B11)*(TRANSAKSI_LOG!$F$2:$F$998&gt;=$B11),0),0)) &amp; " - " &amp; INDEX(TRANSAKSI_LOG!$H$2:$H$998,MATCH(1,INDEX((TRANSAKSI_LOG!$C$2:$C$998=$C$5)*(TRANSAKSI_LOG!$J$2:$J$998=G$7)*(TRANSAKSI_LOG!$E$2:$E$998&lt;=$B11)*(TRANSAKSI_LOG!$F$2:$F$998&gt;=$B11),0),0)),"")</f>
        <v/>
      </c>
      <c r="H11" s="66" t="str">
        <f t="array" ref="H11">IFERROR(INDEX(TRANSAKSI_LOG!$M$2:$M$998,MATCH(1,INDEX((TRANSAKSI_LOG!$C$2:$C$998=$C$5)*(TRANSAKSI_LOG!$J$2:$J$998=H$7)*(TRANSAKSI_LOG!$E$2:$E$998&lt;=$B11)*(TRANSAKSI_LOG!$F$2:$F$998&gt;=$B11),0),0)) &amp; " - " &amp; INDEX(TRANSAKSI_LOG!$H$2:$H$998,MATCH(1,INDEX((TRANSAKSI_LOG!$C$2:$C$998=$C$5)*(TRANSAKSI_LOG!$J$2:$J$998=H$7)*(TRANSAKSI_LOG!$E$2:$E$998&lt;=$B11)*(TRANSAKSI_LOG!$F$2:$F$998&gt;=$B11),0),0)),"")</f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13">
        <v>0.3472222222222222</v>
      </c>
      <c r="C12" s="66" t="str">
        <f t="array" ref="C12">IFERROR(INDEX(TRANSAKSI_LOG!$M$2:$M$998,MATCH(1,INDEX((TRANSAKSI_LOG!$C$2:$C$998=$C$5)*(TRANSAKSI_LOG!$J$2:$J$998=C$7)*(TRANSAKSI_LOG!$E$2:$E$998&lt;=$B12)*(TRANSAKSI_LOG!$F$2:$F$998&gt;=$B12),0),0)) &amp; " - " &amp; INDEX(TRANSAKSI_LOG!$H$2:$H$998,MATCH(1,INDEX((TRANSAKSI_LOG!$C$2:$C$998=$C$5)*(TRANSAKSI_LOG!$J$2:$J$998=C$7)*(TRANSAKSI_LOG!$E$2:$E$998&lt;=$B12)*(TRANSAKSI_LOG!$F$2:$F$998&gt;=$B12),0),0)),"")</f>
        <v/>
      </c>
      <c r="D12" s="66" t="str">
        <f t="array" ref="D12">IFERROR(INDEX(TRANSAKSI_LOG!$M$2:$M$998,MATCH(1,INDEX((TRANSAKSI_LOG!$C$2:$C$998=$C$5)*(TRANSAKSI_LOG!$J$2:$J$998=D$7)*(TRANSAKSI_LOG!$E$2:$E$998&lt;=$B12)*(TRANSAKSI_LOG!$F$2:$F$998&gt;=$B12),0),0)) &amp; " - " &amp; INDEX(TRANSAKSI_LOG!$H$2:$H$998,MATCH(1,INDEX((TRANSAKSI_LOG!$C$2:$C$998=$C$5)*(TRANSAKSI_LOG!$J$2:$J$998=D$7)*(TRANSAKSI_LOG!$E$2:$E$998&lt;=$B12)*(TRANSAKSI_LOG!$F$2:$F$998&gt;=$B12),0),0)),"")</f>
        <v/>
      </c>
      <c r="E12" s="66" t="str">
        <f t="array" ref="E12">IFERROR(INDEX(TRANSAKSI_LOG!$M$2:$M$998,MATCH(1,INDEX((TRANSAKSI_LOG!$C$2:$C$998=$C$5)*(TRANSAKSI_LOG!$J$2:$J$998=E$7)*(TRANSAKSI_LOG!$E$2:$E$998&lt;=$B12)*(TRANSAKSI_LOG!$F$2:$F$998&gt;=$B12),0),0)) &amp; " - " &amp; INDEX(TRANSAKSI_LOG!$H$2:$H$998,MATCH(1,INDEX((TRANSAKSI_LOG!$C$2:$C$998=$C$5)*(TRANSAKSI_LOG!$J$2:$J$998=E$7)*(TRANSAKSI_LOG!$E$2:$E$998&lt;=$B12)*(TRANSAKSI_LOG!$F$2:$F$998&gt;=$B12),0),0)),"")</f>
        <v/>
      </c>
      <c r="F12" s="66" t="str">
        <f t="array" ref="F12">IFERROR(INDEX(TRANSAKSI_LOG!$M$2:$M$998,MATCH(1,INDEX((TRANSAKSI_LOG!$C$2:$C$998=$C$5)*(TRANSAKSI_LOG!$J$2:$J$998=F$7)*(TRANSAKSI_LOG!$E$2:$E$998&lt;=$B12)*(TRANSAKSI_LOG!$F$2:$F$998&gt;=$B12),0),0)) &amp; " - " &amp; INDEX(TRANSAKSI_LOG!$H$2:$H$998,MATCH(1,INDEX((TRANSAKSI_LOG!$C$2:$C$998=$C$5)*(TRANSAKSI_LOG!$J$2:$J$998=F$7)*(TRANSAKSI_LOG!$E$2:$E$998&lt;=$B12)*(TRANSAKSI_LOG!$F$2:$F$998&gt;=$B12),0),0)),"")</f>
        <v/>
      </c>
      <c r="G12" s="66" t="str">
        <f t="array" ref="G12">IFERROR(INDEX(TRANSAKSI_LOG!$M$2:$M$998,MATCH(1,INDEX((TRANSAKSI_LOG!$C$2:$C$998=$C$5)*(TRANSAKSI_LOG!$J$2:$J$998=G$7)*(TRANSAKSI_LOG!$E$2:$E$998&lt;=$B12)*(TRANSAKSI_LOG!$F$2:$F$998&gt;=$B12),0),0)) &amp; " - " &amp; INDEX(TRANSAKSI_LOG!$H$2:$H$998,MATCH(1,INDEX((TRANSAKSI_LOG!$C$2:$C$998=$C$5)*(TRANSAKSI_LOG!$J$2:$J$998=G$7)*(TRANSAKSI_LOG!$E$2:$E$998&lt;=$B12)*(TRANSAKSI_LOG!$F$2:$F$998&gt;=$B12),0),0)),"")</f>
        <v/>
      </c>
      <c r="H12" s="66" t="str">
        <f t="array" ref="H12">IFERROR(INDEX(TRANSAKSI_LOG!$M$2:$M$998,MATCH(1,INDEX((TRANSAKSI_LOG!$C$2:$C$998=$C$5)*(TRANSAKSI_LOG!$J$2:$J$998=H$7)*(TRANSAKSI_LOG!$E$2:$E$998&lt;=$B12)*(TRANSAKSI_LOG!$F$2:$F$998&gt;=$B12),0),0)) &amp; " - " &amp; INDEX(TRANSAKSI_LOG!$H$2:$H$998,MATCH(1,INDEX((TRANSAKSI_LOG!$C$2:$C$998=$C$5)*(TRANSAKSI_LOG!$J$2:$J$998=H$7)*(TRANSAKSI_LOG!$E$2:$E$998&lt;=$B12)*(TRANSAKSI_LOG!$F$2:$F$998&gt;=$B12),0),0)),"")</f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3">
        <v>0.3506944444444444</v>
      </c>
      <c r="C13" s="66" t="str">
        <f t="array" ref="C13">IFERROR(INDEX(TRANSAKSI_LOG!$M$2:$M$998,MATCH(1,INDEX((TRANSAKSI_LOG!$C$2:$C$998=$C$5)*(TRANSAKSI_LOG!$J$2:$J$998=C$7)*(TRANSAKSI_LOG!$E$2:$E$998&lt;=$B13)*(TRANSAKSI_LOG!$F$2:$F$998&gt;=$B13),0),0)) &amp; " - " &amp; INDEX(TRANSAKSI_LOG!$H$2:$H$998,MATCH(1,INDEX((TRANSAKSI_LOG!$C$2:$C$998=$C$5)*(TRANSAKSI_LOG!$J$2:$J$998=C$7)*(TRANSAKSI_LOG!$E$2:$E$998&lt;=$B13)*(TRANSAKSI_LOG!$F$2:$F$998&gt;=$B13),0),0)),"")</f>
        <v/>
      </c>
      <c r="D13" s="66" t="str">
        <f t="array" ref="D13">IFERROR(INDEX(TRANSAKSI_LOG!$M$2:$M$998,MATCH(1,INDEX((TRANSAKSI_LOG!$C$2:$C$998=$C$5)*(TRANSAKSI_LOG!$J$2:$J$998=D$7)*(TRANSAKSI_LOG!$E$2:$E$998&lt;=$B13)*(TRANSAKSI_LOG!$F$2:$F$998&gt;=$B13),0),0)) &amp; " - " &amp; INDEX(TRANSAKSI_LOG!$H$2:$H$998,MATCH(1,INDEX((TRANSAKSI_LOG!$C$2:$C$998=$C$5)*(TRANSAKSI_LOG!$J$2:$J$998=D$7)*(TRANSAKSI_LOG!$E$2:$E$998&lt;=$B13)*(TRANSAKSI_LOG!$F$2:$F$998&gt;=$B13),0),0)),"")</f>
        <v/>
      </c>
      <c r="E13" s="66" t="str">
        <f t="array" ref="E13">IFERROR(INDEX(TRANSAKSI_LOG!$M$2:$M$998,MATCH(1,INDEX((TRANSAKSI_LOG!$C$2:$C$998=$C$5)*(TRANSAKSI_LOG!$J$2:$J$998=E$7)*(TRANSAKSI_LOG!$E$2:$E$998&lt;=$B13)*(TRANSAKSI_LOG!$F$2:$F$998&gt;=$B13),0),0)) &amp; " - " &amp; INDEX(TRANSAKSI_LOG!$H$2:$H$998,MATCH(1,INDEX((TRANSAKSI_LOG!$C$2:$C$998=$C$5)*(TRANSAKSI_LOG!$J$2:$J$998=E$7)*(TRANSAKSI_LOG!$E$2:$E$998&lt;=$B13)*(TRANSAKSI_LOG!$F$2:$F$998&gt;=$B13),0),0)),"")</f>
        <v/>
      </c>
      <c r="F13" s="66" t="str">
        <f t="array" ref="F13">IFERROR(INDEX(TRANSAKSI_LOG!$M$2:$M$998,MATCH(1,INDEX((TRANSAKSI_LOG!$C$2:$C$998=$C$5)*(TRANSAKSI_LOG!$J$2:$J$998=F$7)*(TRANSAKSI_LOG!$E$2:$E$998&lt;=$B13)*(TRANSAKSI_LOG!$F$2:$F$998&gt;=$B13),0),0)) &amp; " - " &amp; INDEX(TRANSAKSI_LOG!$H$2:$H$998,MATCH(1,INDEX((TRANSAKSI_LOG!$C$2:$C$998=$C$5)*(TRANSAKSI_LOG!$J$2:$J$998=F$7)*(TRANSAKSI_LOG!$E$2:$E$998&lt;=$B13)*(TRANSAKSI_LOG!$F$2:$F$998&gt;=$B13),0),0)),"")</f>
        <v/>
      </c>
      <c r="G13" s="66" t="str">
        <f t="array" ref="G13">IFERROR(INDEX(TRANSAKSI_LOG!$M$2:$M$998,MATCH(1,INDEX((TRANSAKSI_LOG!$C$2:$C$998=$C$5)*(TRANSAKSI_LOG!$J$2:$J$998=G$7)*(TRANSAKSI_LOG!$E$2:$E$998&lt;=$B13)*(TRANSAKSI_LOG!$F$2:$F$998&gt;=$B13),0),0)) &amp; " - " &amp; INDEX(TRANSAKSI_LOG!$H$2:$H$998,MATCH(1,INDEX((TRANSAKSI_LOG!$C$2:$C$998=$C$5)*(TRANSAKSI_LOG!$J$2:$J$998=G$7)*(TRANSAKSI_LOG!$E$2:$E$998&lt;=$B13)*(TRANSAKSI_LOG!$F$2:$F$998&gt;=$B13),0),0)),"")</f>
        <v/>
      </c>
      <c r="H13" s="66" t="str">
        <f t="array" ref="H13">IFERROR(INDEX(TRANSAKSI_LOG!$M$2:$M$998,MATCH(1,INDEX((TRANSAKSI_LOG!$C$2:$C$998=$C$5)*(TRANSAKSI_LOG!$J$2:$J$998=H$7)*(TRANSAKSI_LOG!$E$2:$E$998&lt;=$B13)*(TRANSAKSI_LOG!$F$2:$F$998&gt;=$B13),0),0)) &amp; " - " &amp; INDEX(TRANSAKSI_LOG!$H$2:$H$998,MATCH(1,INDEX((TRANSAKSI_LOG!$C$2:$C$998=$C$5)*(TRANSAKSI_LOG!$J$2:$J$998=H$7)*(TRANSAKSI_LOG!$E$2:$E$998&lt;=$B13)*(TRANSAKSI_LOG!$F$2:$F$998&gt;=$B13),0),0)),"")</f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13">
        <v>0.3541666666666667</v>
      </c>
      <c r="C14" s="66" t="str">
        <f t="array" ref="C14">IFERROR(INDEX(TRANSAKSI_LOG!$M$2:$M$998,MATCH(1,INDEX((TRANSAKSI_LOG!$C$2:$C$998=$C$5)*(TRANSAKSI_LOG!$J$2:$J$998=C$7)*(TRANSAKSI_LOG!$E$2:$E$998&lt;=$B14)*(TRANSAKSI_LOG!$F$2:$F$998&gt;=$B14),0),0)) &amp; " - " &amp; INDEX(TRANSAKSI_LOG!$H$2:$H$998,MATCH(1,INDEX((TRANSAKSI_LOG!$C$2:$C$998=$C$5)*(TRANSAKSI_LOG!$J$2:$J$998=C$7)*(TRANSAKSI_LOG!$E$2:$E$998&lt;=$B14)*(TRANSAKSI_LOG!$F$2:$F$998&gt;=$B14),0),0)),"")</f>
        <v/>
      </c>
      <c r="D14" s="66" t="str">
        <f t="array" ref="D14">IFERROR(INDEX(TRANSAKSI_LOG!$M$2:$M$998,MATCH(1,INDEX((TRANSAKSI_LOG!$C$2:$C$998=$C$5)*(TRANSAKSI_LOG!$J$2:$J$998=D$7)*(TRANSAKSI_LOG!$E$2:$E$998&lt;=$B14)*(TRANSAKSI_LOG!$F$2:$F$998&gt;=$B14),0),0)) &amp; " - " &amp; INDEX(TRANSAKSI_LOG!$H$2:$H$998,MATCH(1,INDEX((TRANSAKSI_LOG!$C$2:$C$998=$C$5)*(TRANSAKSI_LOG!$J$2:$J$998=D$7)*(TRANSAKSI_LOG!$E$2:$E$998&lt;=$B14)*(TRANSAKSI_LOG!$F$2:$F$998&gt;=$B14),0),0)),"")</f>
        <v/>
      </c>
      <c r="E14" s="66" t="str">
        <f t="array" ref="E14">IFERROR(INDEX(TRANSAKSI_LOG!$M$2:$M$998,MATCH(1,INDEX((TRANSAKSI_LOG!$C$2:$C$998=$C$5)*(TRANSAKSI_LOG!$J$2:$J$998=E$7)*(TRANSAKSI_LOG!$E$2:$E$998&lt;=$B14)*(TRANSAKSI_LOG!$F$2:$F$998&gt;=$B14),0),0)) &amp; " - " &amp; INDEX(TRANSAKSI_LOG!$H$2:$H$998,MATCH(1,INDEX((TRANSAKSI_LOG!$C$2:$C$998=$C$5)*(TRANSAKSI_LOG!$J$2:$J$998=E$7)*(TRANSAKSI_LOG!$E$2:$E$998&lt;=$B14)*(TRANSAKSI_LOG!$F$2:$F$998&gt;=$B14),0),0)),"")</f>
        <v/>
      </c>
      <c r="F14" s="66" t="str">
        <f t="array" ref="F14">IFERROR(INDEX(TRANSAKSI_LOG!$M$2:$M$998,MATCH(1,INDEX((TRANSAKSI_LOG!$C$2:$C$998=$C$5)*(TRANSAKSI_LOG!$J$2:$J$998=F$7)*(TRANSAKSI_LOG!$E$2:$E$998&lt;=$B14)*(TRANSAKSI_LOG!$F$2:$F$998&gt;=$B14),0),0)) &amp; " - " &amp; INDEX(TRANSAKSI_LOG!$H$2:$H$998,MATCH(1,INDEX((TRANSAKSI_LOG!$C$2:$C$998=$C$5)*(TRANSAKSI_LOG!$J$2:$J$998=F$7)*(TRANSAKSI_LOG!$E$2:$E$998&lt;=$B14)*(TRANSAKSI_LOG!$F$2:$F$998&gt;=$B14),0),0)),"")</f>
        <v/>
      </c>
      <c r="G14" s="66" t="str">
        <f t="array" ref="G14">IFERROR(INDEX(TRANSAKSI_LOG!$M$2:$M$998,MATCH(1,INDEX((TRANSAKSI_LOG!$C$2:$C$998=$C$5)*(TRANSAKSI_LOG!$J$2:$J$998=G$7)*(TRANSAKSI_LOG!$E$2:$E$998&lt;=$B14)*(TRANSAKSI_LOG!$F$2:$F$998&gt;=$B14),0),0)) &amp; " - " &amp; INDEX(TRANSAKSI_LOG!$H$2:$H$998,MATCH(1,INDEX((TRANSAKSI_LOG!$C$2:$C$998=$C$5)*(TRANSAKSI_LOG!$J$2:$J$998=G$7)*(TRANSAKSI_LOG!$E$2:$E$998&lt;=$B14)*(TRANSAKSI_LOG!$F$2:$F$998&gt;=$B14),0),0)),"")</f>
        <v/>
      </c>
      <c r="H14" s="66" t="str">
        <f t="array" ref="H14">IFERROR(INDEX(TRANSAKSI_LOG!$M$2:$M$998,MATCH(1,INDEX((TRANSAKSI_LOG!$C$2:$C$998=$C$5)*(TRANSAKSI_LOG!$J$2:$J$998=H$7)*(TRANSAKSI_LOG!$E$2:$E$998&lt;=$B14)*(TRANSAKSI_LOG!$F$2:$F$998&gt;=$B14),0),0)) &amp; " - " &amp; INDEX(TRANSAKSI_LOG!$H$2:$H$998,MATCH(1,INDEX((TRANSAKSI_LOG!$C$2:$C$998=$C$5)*(TRANSAKSI_LOG!$J$2:$J$998=H$7)*(TRANSAKSI_LOG!$E$2:$E$998&lt;=$B14)*(TRANSAKSI_LOG!$F$2:$F$998&gt;=$B14),0),0)),"")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13">
        <v>0.3576388888888889</v>
      </c>
      <c r="C15" s="66" t="str">
        <f t="array" ref="C15">IFERROR(INDEX(TRANSAKSI_LOG!$M$2:$M$998,MATCH(1,INDEX((TRANSAKSI_LOG!$C$2:$C$998=$C$5)*(TRANSAKSI_LOG!$J$2:$J$998=C$7)*(TRANSAKSI_LOG!$E$2:$E$998&lt;=$B15)*(TRANSAKSI_LOG!$F$2:$F$998&gt;=$B15),0),0)) &amp; " - " &amp; INDEX(TRANSAKSI_LOG!$H$2:$H$998,MATCH(1,INDEX((TRANSAKSI_LOG!$C$2:$C$998=$C$5)*(TRANSAKSI_LOG!$J$2:$J$998=C$7)*(TRANSAKSI_LOG!$E$2:$E$998&lt;=$B15)*(TRANSAKSI_LOG!$F$2:$F$998&gt;=$B15),0),0)),"")</f>
        <v/>
      </c>
      <c r="D15" s="66" t="str">
        <f t="array" ref="D15">IFERROR(INDEX(TRANSAKSI_LOG!$M$2:$M$998,MATCH(1,INDEX((TRANSAKSI_LOG!$C$2:$C$998=$C$5)*(TRANSAKSI_LOG!$J$2:$J$998=D$7)*(TRANSAKSI_LOG!$E$2:$E$998&lt;=$B15)*(TRANSAKSI_LOG!$F$2:$F$998&gt;=$B15),0),0)) &amp; " - " &amp; INDEX(TRANSAKSI_LOG!$H$2:$H$998,MATCH(1,INDEX((TRANSAKSI_LOG!$C$2:$C$998=$C$5)*(TRANSAKSI_LOG!$J$2:$J$998=D$7)*(TRANSAKSI_LOG!$E$2:$E$998&lt;=$B15)*(TRANSAKSI_LOG!$F$2:$F$998&gt;=$B15),0),0)),"")</f>
        <v/>
      </c>
      <c r="E15" s="66" t="str">
        <f t="array" ref="E15">IFERROR(INDEX(TRANSAKSI_LOG!$M$2:$M$998,MATCH(1,INDEX((TRANSAKSI_LOG!$C$2:$C$998=$C$5)*(TRANSAKSI_LOG!$J$2:$J$998=E$7)*(TRANSAKSI_LOG!$E$2:$E$998&lt;=$B15)*(TRANSAKSI_LOG!$F$2:$F$998&gt;=$B15),0),0)) &amp; " - " &amp; INDEX(TRANSAKSI_LOG!$H$2:$H$998,MATCH(1,INDEX((TRANSAKSI_LOG!$C$2:$C$998=$C$5)*(TRANSAKSI_LOG!$J$2:$J$998=E$7)*(TRANSAKSI_LOG!$E$2:$E$998&lt;=$B15)*(TRANSAKSI_LOG!$F$2:$F$998&gt;=$B15),0),0)),"")</f>
        <v/>
      </c>
      <c r="F15" s="66" t="str">
        <f t="array" ref="F15">IFERROR(INDEX(TRANSAKSI_LOG!$M$2:$M$998,MATCH(1,INDEX((TRANSAKSI_LOG!$C$2:$C$998=$C$5)*(TRANSAKSI_LOG!$J$2:$J$998=F$7)*(TRANSAKSI_LOG!$E$2:$E$998&lt;=$B15)*(TRANSAKSI_LOG!$F$2:$F$998&gt;=$B15),0),0)) &amp; " - " &amp; INDEX(TRANSAKSI_LOG!$H$2:$H$998,MATCH(1,INDEX((TRANSAKSI_LOG!$C$2:$C$998=$C$5)*(TRANSAKSI_LOG!$J$2:$J$998=F$7)*(TRANSAKSI_LOG!$E$2:$E$998&lt;=$B15)*(TRANSAKSI_LOG!$F$2:$F$998&gt;=$B15),0),0)),"")</f>
        <v/>
      </c>
      <c r="G15" s="66" t="str">
        <f t="array" ref="G15">IFERROR(INDEX(TRANSAKSI_LOG!$M$2:$M$998,MATCH(1,INDEX((TRANSAKSI_LOG!$C$2:$C$998=$C$5)*(TRANSAKSI_LOG!$J$2:$J$998=G$7)*(TRANSAKSI_LOG!$E$2:$E$998&lt;=$B15)*(TRANSAKSI_LOG!$F$2:$F$998&gt;=$B15),0),0)) &amp; " - " &amp; INDEX(TRANSAKSI_LOG!$H$2:$H$998,MATCH(1,INDEX((TRANSAKSI_LOG!$C$2:$C$998=$C$5)*(TRANSAKSI_LOG!$J$2:$J$998=G$7)*(TRANSAKSI_LOG!$E$2:$E$998&lt;=$B15)*(TRANSAKSI_LOG!$F$2:$F$998&gt;=$B15),0),0)),"")</f>
        <v/>
      </c>
      <c r="H15" s="66" t="str">
        <f t="array" ref="H15">IFERROR(INDEX(TRANSAKSI_LOG!$M$2:$M$998,MATCH(1,INDEX((TRANSAKSI_LOG!$C$2:$C$998=$C$5)*(TRANSAKSI_LOG!$J$2:$J$998=H$7)*(TRANSAKSI_LOG!$E$2:$E$998&lt;=$B15)*(TRANSAKSI_LOG!$F$2:$F$998&gt;=$B15),0),0)) &amp; " - " &amp; INDEX(TRANSAKSI_LOG!$H$2:$H$998,MATCH(1,INDEX((TRANSAKSI_LOG!$C$2:$C$998=$C$5)*(TRANSAKSI_LOG!$J$2:$J$998=H$7)*(TRANSAKSI_LOG!$E$2:$E$998&lt;=$B15)*(TRANSAKSI_LOG!$F$2:$F$998&gt;=$B15),0),0)),"")</f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13">
        <v>0.3611111111111111</v>
      </c>
      <c r="C16" s="66" t="str">
        <f t="array" ref="C16">IFERROR(INDEX(TRANSAKSI_LOG!$M$2:$M$998,MATCH(1,INDEX((TRANSAKSI_LOG!$C$2:$C$998=$C$5)*(TRANSAKSI_LOG!$J$2:$J$998=C$7)*(TRANSAKSI_LOG!$E$2:$E$998&lt;=$B16)*(TRANSAKSI_LOG!$F$2:$F$998&gt;=$B16),0),0)) &amp; " - " &amp; INDEX(TRANSAKSI_LOG!$H$2:$H$998,MATCH(1,INDEX((TRANSAKSI_LOG!$C$2:$C$998=$C$5)*(TRANSAKSI_LOG!$J$2:$J$998=C$7)*(TRANSAKSI_LOG!$E$2:$E$998&lt;=$B16)*(TRANSAKSI_LOG!$F$2:$F$998&gt;=$B16),0),0)),"")</f>
        <v/>
      </c>
      <c r="D16" s="66" t="str">
        <f t="array" ref="D16">IFERROR(INDEX(TRANSAKSI_LOG!$M$2:$M$998,MATCH(1,INDEX((TRANSAKSI_LOG!$C$2:$C$998=$C$5)*(TRANSAKSI_LOG!$J$2:$J$998=D$7)*(TRANSAKSI_LOG!$E$2:$E$998&lt;=$B16)*(TRANSAKSI_LOG!$F$2:$F$998&gt;=$B16),0),0)) &amp; " - " &amp; INDEX(TRANSAKSI_LOG!$H$2:$H$998,MATCH(1,INDEX((TRANSAKSI_LOG!$C$2:$C$998=$C$5)*(TRANSAKSI_LOG!$J$2:$J$998=D$7)*(TRANSAKSI_LOG!$E$2:$E$998&lt;=$B16)*(TRANSAKSI_LOG!$F$2:$F$998&gt;=$B16),0),0)),"")</f>
        <v/>
      </c>
      <c r="E16" s="66" t="str">
        <f t="array" ref="E16">IFERROR(INDEX(TRANSAKSI_LOG!$M$2:$M$998,MATCH(1,INDEX((TRANSAKSI_LOG!$C$2:$C$998=$C$5)*(TRANSAKSI_LOG!$J$2:$J$998=E$7)*(TRANSAKSI_LOG!$E$2:$E$998&lt;=$B16)*(TRANSAKSI_LOG!$F$2:$F$998&gt;=$B16),0),0)) &amp; " - " &amp; INDEX(TRANSAKSI_LOG!$H$2:$H$998,MATCH(1,INDEX((TRANSAKSI_LOG!$C$2:$C$998=$C$5)*(TRANSAKSI_LOG!$J$2:$J$998=E$7)*(TRANSAKSI_LOG!$E$2:$E$998&lt;=$B16)*(TRANSAKSI_LOG!$F$2:$F$998&gt;=$B16),0),0)),"")</f>
        <v/>
      </c>
      <c r="F16" s="66" t="str">
        <f t="array" ref="F16">IFERROR(INDEX(TRANSAKSI_LOG!$M$2:$M$998,MATCH(1,INDEX((TRANSAKSI_LOG!$C$2:$C$998=$C$5)*(TRANSAKSI_LOG!$J$2:$J$998=F$7)*(TRANSAKSI_LOG!$E$2:$E$998&lt;=$B16)*(TRANSAKSI_LOG!$F$2:$F$998&gt;=$B16),0),0)) &amp; " - " &amp; INDEX(TRANSAKSI_LOG!$H$2:$H$998,MATCH(1,INDEX((TRANSAKSI_LOG!$C$2:$C$998=$C$5)*(TRANSAKSI_LOG!$J$2:$J$998=F$7)*(TRANSAKSI_LOG!$E$2:$E$998&lt;=$B16)*(TRANSAKSI_LOG!$F$2:$F$998&gt;=$B16),0),0)),"")</f>
        <v/>
      </c>
      <c r="G16" s="66" t="str">
        <f t="array" ref="G16">IFERROR(INDEX(TRANSAKSI_LOG!$M$2:$M$998,MATCH(1,INDEX((TRANSAKSI_LOG!$C$2:$C$998=$C$5)*(TRANSAKSI_LOG!$J$2:$J$998=G$7)*(TRANSAKSI_LOG!$E$2:$E$998&lt;=$B16)*(TRANSAKSI_LOG!$F$2:$F$998&gt;=$B16),0),0)) &amp; " - " &amp; INDEX(TRANSAKSI_LOG!$H$2:$H$998,MATCH(1,INDEX((TRANSAKSI_LOG!$C$2:$C$998=$C$5)*(TRANSAKSI_LOG!$J$2:$J$998=G$7)*(TRANSAKSI_LOG!$E$2:$E$998&lt;=$B16)*(TRANSAKSI_LOG!$F$2:$F$998&gt;=$B16),0),0)),"")</f>
        <v/>
      </c>
      <c r="H16" s="66" t="str">
        <f t="array" ref="H16">IFERROR(INDEX(TRANSAKSI_LOG!$M$2:$M$998,MATCH(1,INDEX((TRANSAKSI_LOG!$C$2:$C$998=$C$5)*(TRANSAKSI_LOG!$J$2:$J$998=H$7)*(TRANSAKSI_LOG!$E$2:$E$998&lt;=$B16)*(TRANSAKSI_LOG!$F$2:$F$998&gt;=$B16),0),0)) &amp; " - " &amp; INDEX(TRANSAKSI_LOG!$H$2:$H$998,MATCH(1,INDEX((TRANSAKSI_LOG!$C$2:$C$998=$C$5)*(TRANSAKSI_LOG!$J$2:$J$998=H$7)*(TRANSAKSI_LOG!$E$2:$E$998&lt;=$B16)*(TRANSAKSI_LOG!$F$2:$F$998&gt;=$B16),0),0)),"")</f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13">
        <v>0.3645833333333333</v>
      </c>
      <c r="C17" s="66" t="str">
        <f t="array" ref="C17">IFERROR(INDEX(TRANSAKSI_LOG!$M$2:$M$998,MATCH(1,INDEX((TRANSAKSI_LOG!$C$2:$C$998=$C$5)*(TRANSAKSI_LOG!$J$2:$J$998=C$7)*(TRANSAKSI_LOG!$E$2:$E$998&lt;=$B17)*(TRANSAKSI_LOG!$F$2:$F$998&gt;=$B17),0),0)) &amp; " - " &amp; INDEX(TRANSAKSI_LOG!$H$2:$H$998,MATCH(1,INDEX((TRANSAKSI_LOG!$C$2:$C$998=$C$5)*(TRANSAKSI_LOG!$J$2:$J$998=C$7)*(TRANSAKSI_LOG!$E$2:$E$998&lt;=$B17)*(TRANSAKSI_LOG!$F$2:$F$998&gt;=$B17),0),0)),"")</f>
        <v/>
      </c>
      <c r="D17" s="66" t="str">
        <f t="array" ref="D17">IFERROR(INDEX(TRANSAKSI_LOG!$M$2:$M$998,MATCH(1,INDEX((TRANSAKSI_LOG!$C$2:$C$998=$C$5)*(TRANSAKSI_LOG!$J$2:$J$998=D$7)*(TRANSAKSI_LOG!$E$2:$E$998&lt;=$B17)*(TRANSAKSI_LOG!$F$2:$F$998&gt;=$B17),0),0)) &amp; " - " &amp; INDEX(TRANSAKSI_LOG!$H$2:$H$998,MATCH(1,INDEX((TRANSAKSI_LOG!$C$2:$C$998=$C$5)*(TRANSAKSI_LOG!$J$2:$J$998=D$7)*(TRANSAKSI_LOG!$E$2:$E$998&lt;=$B17)*(TRANSAKSI_LOG!$F$2:$F$998&gt;=$B17),0),0)),"")</f>
        <v/>
      </c>
      <c r="E17" s="66" t="str">
        <f t="array" ref="E17">IFERROR(INDEX(TRANSAKSI_LOG!$M$2:$M$998,MATCH(1,INDEX((TRANSAKSI_LOG!$C$2:$C$998=$C$5)*(TRANSAKSI_LOG!$J$2:$J$998=E$7)*(TRANSAKSI_LOG!$E$2:$E$998&lt;=$B17)*(TRANSAKSI_LOG!$F$2:$F$998&gt;=$B17),0),0)) &amp; " - " &amp; INDEX(TRANSAKSI_LOG!$H$2:$H$998,MATCH(1,INDEX((TRANSAKSI_LOG!$C$2:$C$998=$C$5)*(TRANSAKSI_LOG!$J$2:$J$998=E$7)*(TRANSAKSI_LOG!$E$2:$E$998&lt;=$B17)*(TRANSAKSI_LOG!$F$2:$F$998&gt;=$B17),0),0)),"")</f>
        <v/>
      </c>
      <c r="F17" s="66" t="str">
        <f t="array" ref="F17">IFERROR(INDEX(TRANSAKSI_LOG!$M$2:$M$998,MATCH(1,INDEX((TRANSAKSI_LOG!$C$2:$C$998=$C$5)*(TRANSAKSI_LOG!$J$2:$J$998=F$7)*(TRANSAKSI_LOG!$E$2:$E$998&lt;=$B17)*(TRANSAKSI_LOG!$F$2:$F$998&gt;=$B17),0),0)) &amp; " - " &amp; INDEX(TRANSAKSI_LOG!$H$2:$H$998,MATCH(1,INDEX((TRANSAKSI_LOG!$C$2:$C$998=$C$5)*(TRANSAKSI_LOG!$J$2:$J$998=F$7)*(TRANSAKSI_LOG!$E$2:$E$998&lt;=$B17)*(TRANSAKSI_LOG!$F$2:$F$998&gt;=$B17),0),0)),"")</f>
        <v/>
      </c>
      <c r="G17" s="66" t="str">
        <f t="array" ref="G17">IFERROR(INDEX(TRANSAKSI_LOG!$M$2:$M$998,MATCH(1,INDEX((TRANSAKSI_LOG!$C$2:$C$998=$C$5)*(TRANSAKSI_LOG!$J$2:$J$998=G$7)*(TRANSAKSI_LOG!$E$2:$E$998&lt;=$B17)*(TRANSAKSI_LOG!$F$2:$F$998&gt;=$B17),0),0)) &amp; " - " &amp; INDEX(TRANSAKSI_LOG!$H$2:$H$998,MATCH(1,INDEX((TRANSAKSI_LOG!$C$2:$C$998=$C$5)*(TRANSAKSI_LOG!$J$2:$J$998=G$7)*(TRANSAKSI_LOG!$E$2:$E$998&lt;=$B17)*(TRANSAKSI_LOG!$F$2:$F$998&gt;=$B17),0),0)),"")</f>
        <v/>
      </c>
      <c r="H17" s="66" t="str">
        <f t="array" ref="H17">IFERROR(INDEX(TRANSAKSI_LOG!$M$2:$M$998,MATCH(1,INDEX((TRANSAKSI_LOG!$C$2:$C$998=$C$5)*(TRANSAKSI_LOG!$J$2:$J$998=H$7)*(TRANSAKSI_LOG!$E$2:$E$998&lt;=$B17)*(TRANSAKSI_LOG!$F$2:$F$998&gt;=$B17),0),0)) &amp; " - " &amp; INDEX(TRANSAKSI_LOG!$H$2:$H$998,MATCH(1,INDEX((TRANSAKSI_LOG!$C$2:$C$998=$C$5)*(TRANSAKSI_LOG!$J$2:$J$998=H$7)*(TRANSAKSI_LOG!$E$2:$E$998&lt;=$B17)*(TRANSAKSI_LOG!$F$2:$F$998&gt;=$B17),0),0)),"")</f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13">
        <v>0.3680555555555556</v>
      </c>
      <c r="C18" s="66" t="str">
        <f t="array" ref="C18">IFERROR(INDEX(TRANSAKSI_LOG!$M$2:$M$998,MATCH(1,INDEX((TRANSAKSI_LOG!$C$2:$C$998=$C$5)*(TRANSAKSI_LOG!$J$2:$J$998=C$7)*(TRANSAKSI_LOG!$E$2:$E$998&lt;=$B18)*(TRANSAKSI_LOG!$F$2:$F$998&gt;=$B18),0),0)) &amp; " - " &amp; INDEX(TRANSAKSI_LOG!$H$2:$H$998,MATCH(1,INDEX((TRANSAKSI_LOG!$C$2:$C$998=$C$5)*(TRANSAKSI_LOG!$J$2:$J$998=C$7)*(TRANSAKSI_LOG!$E$2:$E$998&lt;=$B18)*(TRANSAKSI_LOG!$F$2:$F$998&gt;=$B18),0),0)),"")</f>
        <v/>
      </c>
      <c r="D18" s="66" t="str">
        <f t="array" ref="D18">IFERROR(INDEX(TRANSAKSI_LOG!$M$2:$M$998,MATCH(1,INDEX((TRANSAKSI_LOG!$C$2:$C$998=$C$5)*(TRANSAKSI_LOG!$J$2:$J$998=D$7)*(TRANSAKSI_LOG!$E$2:$E$998&lt;=$B18)*(TRANSAKSI_LOG!$F$2:$F$998&gt;=$B18),0),0)) &amp; " - " &amp; INDEX(TRANSAKSI_LOG!$H$2:$H$998,MATCH(1,INDEX((TRANSAKSI_LOG!$C$2:$C$998=$C$5)*(TRANSAKSI_LOG!$J$2:$J$998=D$7)*(TRANSAKSI_LOG!$E$2:$E$998&lt;=$B18)*(TRANSAKSI_LOG!$F$2:$F$998&gt;=$B18),0),0)),"")</f>
        <v/>
      </c>
      <c r="E18" s="66" t="str">
        <f t="array" ref="E18">IFERROR(INDEX(TRANSAKSI_LOG!$M$2:$M$998,MATCH(1,INDEX((TRANSAKSI_LOG!$C$2:$C$998=$C$5)*(TRANSAKSI_LOG!$J$2:$J$998=E$7)*(TRANSAKSI_LOG!$E$2:$E$998&lt;=$B18)*(TRANSAKSI_LOG!$F$2:$F$998&gt;=$B18),0),0)) &amp; " - " &amp; INDEX(TRANSAKSI_LOG!$H$2:$H$998,MATCH(1,INDEX((TRANSAKSI_LOG!$C$2:$C$998=$C$5)*(TRANSAKSI_LOG!$J$2:$J$998=E$7)*(TRANSAKSI_LOG!$E$2:$E$998&lt;=$B18)*(TRANSAKSI_LOG!$F$2:$F$998&gt;=$B18),0),0)),"")</f>
        <v/>
      </c>
      <c r="F18" s="66" t="str">
        <f t="array" ref="F18">IFERROR(INDEX(TRANSAKSI_LOG!$M$2:$M$998,MATCH(1,INDEX((TRANSAKSI_LOG!$C$2:$C$998=$C$5)*(TRANSAKSI_LOG!$J$2:$J$998=F$7)*(TRANSAKSI_LOG!$E$2:$E$998&lt;=$B18)*(TRANSAKSI_LOG!$F$2:$F$998&gt;=$B18),0),0)) &amp; " - " &amp; INDEX(TRANSAKSI_LOG!$H$2:$H$998,MATCH(1,INDEX((TRANSAKSI_LOG!$C$2:$C$998=$C$5)*(TRANSAKSI_LOG!$J$2:$J$998=F$7)*(TRANSAKSI_LOG!$E$2:$E$998&lt;=$B18)*(TRANSAKSI_LOG!$F$2:$F$998&gt;=$B18),0),0)),"")</f>
        <v/>
      </c>
      <c r="G18" s="66" t="str">
        <f t="array" ref="G18">IFERROR(INDEX(TRANSAKSI_LOG!$M$2:$M$998,MATCH(1,INDEX((TRANSAKSI_LOG!$C$2:$C$998=$C$5)*(TRANSAKSI_LOG!$J$2:$J$998=G$7)*(TRANSAKSI_LOG!$E$2:$E$998&lt;=$B18)*(TRANSAKSI_LOG!$F$2:$F$998&gt;=$B18),0),0)) &amp; " - " &amp; INDEX(TRANSAKSI_LOG!$H$2:$H$998,MATCH(1,INDEX((TRANSAKSI_LOG!$C$2:$C$998=$C$5)*(TRANSAKSI_LOG!$J$2:$J$998=G$7)*(TRANSAKSI_LOG!$E$2:$E$998&lt;=$B18)*(TRANSAKSI_LOG!$F$2:$F$998&gt;=$B18),0),0)),"")</f>
        <v/>
      </c>
      <c r="H18" s="66" t="str">
        <f t="array" ref="H18">IFERROR(INDEX(TRANSAKSI_LOG!$M$2:$M$998,MATCH(1,INDEX((TRANSAKSI_LOG!$C$2:$C$998=$C$5)*(TRANSAKSI_LOG!$J$2:$J$998=H$7)*(TRANSAKSI_LOG!$E$2:$E$998&lt;=$B18)*(TRANSAKSI_LOG!$F$2:$F$998&gt;=$B18),0),0)) &amp; " - " &amp; INDEX(TRANSAKSI_LOG!$H$2:$H$998,MATCH(1,INDEX((TRANSAKSI_LOG!$C$2:$C$998=$C$5)*(TRANSAKSI_LOG!$J$2:$J$998=H$7)*(TRANSAKSI_LOG!$E$2:$E$998&lt;=$B18)*(TRANSAKSI_LOG!$F$2:$F$998&gt;=$B18),0),0)),"")</f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13">
        <v>0.3715277777777778</v>
      </c>
      <c r="C19" s="66" t="str">
        <f t="array" ref="C19">IFERROR(INDEX(TRANSAKSI_LOG!$M$2:$M$998,MATCH(1,INDEX((TRANSAKSI_LOG!$C$2:$C$998=$C$5)*(TRANSAKSI_LOG!$J$2:$J$998=C$7)*(TRANSAKSI_LOG!$E$2:$E$998&lt;=$B19)*(TRANSAKSI_LOG!$F$2:$F$998&gt;=$B19),0),0)) &amp; " - " &amp; INDEX(TRANSAKSI_LOG!$H$2:$H$998,MATCH(1,INDEX((TRANSAKSI_LOG!$C$2:$C$998=$C$5)*(TRANSAKSI_LOG!$J$2:$J$998=C$7)*(TRANSAKSI_LOG!$E$2:$E$998&lt;=$B19)*(TRANSAKSI_LOG!$F$2:$F$998&gt;=$B19),0),0)),"")</f>
        <v/>
      </c>
      <c r="D19" s="66" t="str">
        <f t="array" ref="D19">IFERROR(INDEX(TRANSAKSI_LOG!$M$2:$M$998,MATCH(1,INDEX((TRANSAKSI_LOG!$C$2:$C$998=$C$5)*(TRANSAKSI_LOG!$J$2:$J$998=D$7)*(TRANSAKSI_LOG!$E$2:$E$998&lt;=$B19)*(TRANSAKSI_LOG!$F$2:$F$998&gt;=$B19),0),0)) &amp; " - " &amp; INDEX(TRANSAKSI_LOG!$H$2:$H$998,MATCH(1,INDEX((TRANSAKSI_LOG!$C$2:$C$998=$C$5)*(TRANSAKSI_LOG!$J$2:$J$998=D$7)*(TRANSAKSI_LOG!$E$2:$E$998&lt;=$B19)*(TRANSAKSI_LOG!$F$2:$F$998&gt;=$B19),0),0)),"")</f>
        <v/>
      </c>
      <c r="E19" s="66" t="str">
        <f t="array" ref="E19">IFERROR(INDEX(TRANSAKSI_LOG!$M$2:$M$998,MATCH(1,INDEX((TRANSAKSI_LOG!$C$2:$C$998=$C$5)*(TRANSAKSI_LOG!$J$2:$J$998=E$7)*(TRANSAKSI_LOG!$E$2:$E$998&lt;=$B19)*(TRANSAKSI_LOG!$F$2:$F$998&gt;=$B19),0),0)) &amp; " - " &amp; INDEX(TRANSAKSI_LOG!$H$2:$H$998,MATCH(1,INDEX((TRANSAKSI_LOG!$C$2:$C$998=$C$5)*(TRANSAKSI_LOG!$J$2:$J$998=E$7)*(TRANSAKSI_LOG!$E$2:$E$998&lt;=$B19)*(TRANSAKSI_LOG!$F$2:$F$998&gt;=$B19),0),0)),"")</f>
        <v/>
      </c>
      <c r="F19" s="66" t="str">
        <f t="array" ref="F19">IFERROR(INDEX(TRANSAKSI_LOG!$M$2:$M$998,MATCH(1,INDEX((TRANSAKSI_LOG!$C$2:$C$998=$C$5)*(TRANSAKSI_LOG!$J$2:$J$998=F$7)*(TRANSAKSI_LOG!$E$2:$E$998&lt;=$B19)*(TRANSAKSI_LOG!$F$2:$F$998&gt;=$B19),0),0)) &amp; " - " &amp; INDEX(TRANSAKSI_LOG!$H$2:$H$998,MATCH(1,INDEX((TRANSAKSI_LOG!$C$2:$C$998=$C$5)*(TRANSAKSI_LOG!$J$2:$J$998=F$7)*(TRANSAKSI_LOG!$E$2:$E$998&lt;=$B19)*(TRANSAKSI_LOG!$F$2:$F$998&gt;=$B19),0),0)),"")</f>
        <v/>
      </c>
      <c r="G19" s="66" t="str">
        <f t="array" ref="G19">IFERROR(INDEX(TRANSAKSI_LOG!$M$2:$M$998,MATCH(1,INDEX((TRANSAKSI_LOG!$C$2:$C$998=$C$5)*(TRANSAKSI_LOG!$J$2:$J$998=G$7)*(TRANSAKSI_LOG!$E$2:$E$998&lt;=$B19)*(TRANSAKSI_LOG!$F$2:$F$998&gt;=$B19),0),0)) &amp; " - " &amp; INDEX(TRANSAKSI_LOG!$H$2:$H$998,MATCH(1,INDEX((TRANSAKSI_LOG!$C$2:$C$998=$C$5)*(TRANSAKSI_LOG!$J$2:$J$998=G$7)*(TRANSAKSI_LOG!$E$2:$E$998&lt;=$B19)*(TRANSAKSI_LOG!$F$2:$F$998&gt;=$B19),0),0)),"")</f>
        <v/>
      </c>
      <c r="H19" s="66" t="str">
        <f t="array" ref="H19">IFERROR(INDEX(TRANSAKSI_LOG!$M$2:$M$998,MATCH(1,INDEX((TRANSAKSI_LOG!$C$2:$C$998=$C$5)*(TRANSAKSI_LOG!$J$2:$J$998=H$7)*(TRANSAKSI_LOG!$E$2:$E$998&lt;=$B19)*(TRANSAKSI_LOG!$F$2:$F$998&gt;=$B19),0),0)) &amp; " - " &amp; INDEX(TRANSAKSI_LOG!$H$2:$H$998,MATCH(1,INDEX((TRANSAKSI_LOG!$C$2:$C$998=$C$5)*(TRANSAKSI_LOG!$J$2:$J$998=H$7)*(TRANSAKSI_LOG!$E$2:$E$998&lt;=$B19)*(TRANSAKSI_LOG!$F$2:$F$998&gt;=$B19),0),0)),"")</f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13">
        <v>0.375</v>
      </c>
      <c r="C20" s="66" t="str">
        <f t="array" ref="C20">IFERROR(INDEX(TRANSAKSI_LOG!$M$2:$M$998,MATCH(1,INDEX((TRANSAKSI_LOG!$C$2:$C$998=$C$5)*(TRANSAKSI_LOG!$J$2:$J$998=C$7)*(TRANSAKSI_LOG!$E$2:$E$998&lt;=$B20)*(TRANSAKSI_LOG!$F$2:$F$998&gt;=$B20),0),0)) &amp; " - " &amp; INDEX(TRANSAKSI_LOG!$H$2:$H$998,MATCH(1,INDEX((TRANSAKSI_LOG!$C$2:$C$998=$C$5)*(TRANSAKSI_LOG!$J$2:$J$998=C$7)*(TRANSAKSI_LOG!$E$2:$E$998&lt;=$B20)*(TRANSAKSI_LOG!$F$2:$F$998&gt;=$B20),0),0)),"")</f>
        <v/>
      </c>
      <c r="D20" s="66" t="str">
        <f t="array" ref="D20">IFERROR(INDEX(TRANSAKSI_LOG!$M$2:$M$998,MATCH(1,INDEX((TRANSAKSI_LOG!$C$2:$C$998=$C$5)*(TRANSAKSI_LOG!$J$2:$J$998=D$7)*(TRANSAKSI_LOG!$E$2:$E$998&lt;=$B20)*(TRANSAKSI_LOG!$F$2:$F$998&gt;=$B20),0),0)) &amp; " - " &amp; INDEX(TRANSAKSI_LOG!$H$2:$H$998,MATCH(1,INDEX((TRANSAKSI_LOG!$C$2:$C$998=$C$5)*(TRANSAKSI_LOG!$J$2:$J$998=D$7)*(TRANSAKSI_LOG!$E$2:$E$998&lt;=$B20)*(TRANSAKSI_LOG!$F$2:$F$998&gt;=$B20),0),0)),"")</f>
        <v/>
      </c>
      <c r="E20" s="66" t="str">
        <f t="array" ref="E20">IFERROR(INDEX(TRANSAKSI_LOG!$M$2:$M$998,MATCH(1,INDEX((TRANSAKSI_LOG!$C$2:$C$998=$C$5)*(TRANSAKSI_LOG!$J$2:$J$998=E$7)*(TRANSAKSI_LOG!$E$2:$E$998&lt;=$B20)*(TRANSAKSI_LOG!$F$2:$F$998&gt;=$B20),0),0)) &amp; " - " &amp; INDEX(TRANSAKSI_LOG!$H$2:$H$998,MATCH(1,INDEX((TRANSAKSI_LOG!$C$2:$C$998=$C$5)*(TRANSAKSI_LOG!$J$2:$J$998=E$7)*(TRANSAKSI_LOG!$E$2:$E$998&lt;=$B20)*(TRANSAKSI_LOG!$F$2:$F$998&gt;=$B20),0),0)),"")</f>
        <v/>
      </c>
      <c r="F20" s="66" t="str">
        <f t="array" ref="F20">IFERROR(INDEX(TRANSAKSI_LOG!$M$2:$M$998,MATCH(1,INDEX((TRANSAKSI_LOG!$C$2:$C$998=$C$5)*(TRANSAKSI_LOG!$J$2:$J$998=F$7)*(TRANSAKSI_LOG!$E$2:$E$998&lt;=$B20)*(TRANSAKSI_LOG!$F$2:$F$998&gt;=$B20),0),0)) &amp; " - " &amp; INDEX(TRANSAKSI_LOG!$H$2:$H$998,MATCH(1,INDEX((TRANSAKSI_LOG!$C$2:$C$998=$C$5)*(TRANSAKSI_LOG!$J$2:$J$998=F$7)*(TRANSAKSI_LOG!$E$2:$E$998&lt;=$B20)*(TRANSAKSI_LOG!$F$2:$F$998&gt;=$B20),0),0)),"")</f>
        <v>iuiuiu - Colic Relief Massage Baby (Pijat Kolik)</v>
      </c>
      <c r="G20" s="66" t="str">
        <f t="array" ref="G20">IFERROR(INDEX(TRANSAKSI_LOG!$M$2:$M$998,MATCH(1,INDEX((TRANSAKSI_LOG!$C$2:$C$998=$C$5)*(TRANSAKSI_LOG!$J$2:$J$998=G$7)*(TRANSAKSI_LOG!$E$2:$E$998&lt;=$B20)*(TRANSAKSI_LOG!$F$2:$F$998&gt;=$B20),0),0)) &amp; " - " &amp; INDEX(TRANSAKSI_LOG!$H$2:$H$998,MATCH(1,INDEX((TRANSAKSI_LOG!$C$2:$C$998=$C$5)*(TRANSAKSI_LOG!$J$2:$J$998=G$7)*(TRANSAKSI_LOG!$E$2:$E$998&lt;=$B20)*(TRANSAKSI_LOG!$F$2:$F$998&gt;=$B20),0),0)),"")</f>
        <v/>
      </c>
      <c r="H20" s="66" t="str">
        <f t="array" ref="H20">IFERROR(INDEX(TRANSAKSI_LOG!$M$2:$M$998,MATCH(1,INDEX((TRANSAKSI_LOG!$C$2:$C$998=$C$5)*(TRANSAKSI_LOG!$J$2:$J$998=H$7)*(TRANSAKSI_LOG!$E$2:$E$998&lt;=$B20)*(TRANSAKSI_LOG!$F$2:$F$998&gt;=$B20),0),0)) &amp; " - " &amp; INDEX(TRANSAKSI_LOG!$H$2:$H$998,MATCH(1,INDEX((TRANSAKSI_LOG!$C$2:$C$998=$C$5)*(TRANSAKSI_LOG!$J$2:$J$998=H$7)*(TRANSAKSI_LOG!$E$2:$E$998&lt;=$B20)*(TRANSAKSI_LOG!$F$2:$F$998&gt;=$B20),0),0)),"")</f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3">
        <v>0.3784722222222222</v>
      </c>
      <c r="C21" s="66" t="str">
        <f t="array" ref="C21">IFERROR(INDEX(TRANSAKSI_LOG!$M$2:$M$998,MATCH(1,INDEX((TRANSAKSI_LOG!$C$2:$C$998=$C$5)*(TRANSAKSI_LOG!$J$2:$J$998=C$7)*(TRANSAKSI_LOG!$E$2:$E$998&lt;=$B21)*(TRANSAKSI_LOG!$F$2:$F$998&gt;=$B21),0),0)) &amp; " - " &amp; INDEX(TRANSAKSI_LOG!$H$2:$H$998,MATCH(1,INDEX((TRANSAKSI_LOG!$C$2:$C$998=$C$5)*(TRANSAKSI_LOG!$J$2:$J$998=C$7)*(TRANSAKSI_LOG!$E$2:$E$998&lt;=$B21)*(TRANSAKSI_LOG!$F$2:$F$998&gt;=$B21),0),0)),"")</f>
        <v/>
      </c>
      <c r="D21" s="66" t="str">
        <f t="array" ref="D21">IFERROR(INDEX(TRANSAKSI_LOG!$M$2:$M$998,MATCH(1,INDEX((TRANSAKSI_LOG!$C$2:$C$998=$C$5)*(TRANSAKSI_LOG!$J$2:$J$998=D$7)*(TRANSAKSI_LOG!$E$2:$E$998&lt;=$B21)*(TRANSAKSI_LOG!$F$2:$F$998&gt;=$B21),0),0)) &amp; " - " &amp; INDEX(TRANSAKSI_LOG!$H$2:$H$998,MATCH(1,INDEX((TRANSAKSI_LOG!$C$2:$C$998=$C$5)*(TRANSAKSI_LOG!$J$2:$J$998=D$7)*(TRANSAKSI_LOG!$E$2:$E$998&lt;=$B21)*(TRANSAKSI_LOG!$F$2:$F$998&gt;=$B21),0),0)),"")</f>
        <v/>
      </c>
      <c r="E21" s="66" t="str">
        <f t="array" ref="E21">IFERROR(INDEX(TRANSAKSI_LOG!$M$2:$M$998,MATCH(1,INDEX((TRANSAKSI_LOG!$C$2:$C$998=$C$5)*(TRANSAKSI_LOG!$J$2:$J$998=E$7)*(TRANSAKSI_LOG!$E$2:$E$998&lt;=$B21)*(TRANSAKSI_LOG!$F$2:$F$998&gt;=$B21),0),0)) &amp; " - " &amp; INDEX(TRANSAKSI_LOG!$H$2:$H$998,MATCH(1,INDEX((TRANSAKSI_LOG!$C$2:$C$998=$C$5)*(TRANSAKSI_LOG!$J$2:$J$998=E$7)*(TRANSAKSI_LOG!$E$2:$E$998&lt;=$B21)*(TRANSAKSI_LOG!$F$2:$F$998&gt;=$B21),0),0)),"")</f>
        <v/>
      </c>
      <c r="F21" s="66" t="str">
        <f t="array" ref="F21">IFERROR(INDEX(TRANSAKSI_LOG!$M$2:$M$998,MATCH(1,INDEX((TRANSAKSI_LOG!$C$2:$C$998=$C$5)*(TRANSAKSI_LOG!$J$2:$J$998=F$7)*(TRANSAKSI_LOG!$E$2:$E$998&lt;=$B21)*(TRANSAKSI_LOG!$F$2:$F$998&gt;=$B21),0),0)) &amp; " - " &amp; INDEX(TRANSAKSI_LOG!$H$2:$H$998,MATCH(1,INDEX((TRANSAKSI_LOG!$C$2:$C$998=$C$5)*(TRANSAKSI_LOG!$J$2:$J$998=F$7)*(TRANSAKSI_LOG!$E$2:$E$998&lt;=$B21)*(TRANSAKSI_LOG!$F$2:$F$998&gt;=$B21),0),0)),"")</f>
        <v>iuiuiu - Colic Relief Massage Baby (Pijat Kolik)</v>
      </c>
      <c r="G21" s="66" t="str">
        <f t="array" ref="G21">IFERROR(INDEX(TRANSAKSI_LOG!$M$2:$M$998,MATCH(1,INDEX((TRANSAKSI_LOG!$C$2:$C$998=$C$5)*(TRANSAKSI_LOG!$J$2:$J$998=G$7)*(TRANSAKSI_LOG!$E$2:$E$998&lt;=$B21)*(TRANSAKSI_LOG!$F$2:$F$998&gt;=$B21),0),0)) &amp; " - " &amp; INDEX(TRANSAKSI_LOG!$H$2:$H$998,MATCH(1,INDEX((TRANSAKSI_LOG!$C$2:$C$998=$C$5)*(TRANSAKSI_LOG!$J$2:$J$998=G$7)*(TRANSAKSI_LOG!$E$2:$E$998&lt;=$B21)*(TRANSAKSI_LOG!$F$2:$F$998&gt;=$B21),0),0)),"")</f>
        <v/>
      </c>
      <c r="H21" s="66" t="str">
        <f t="array" ref="H21">IFERROR(INDEX(TRANSAKSI_LOG!$M$2:$M$998,MATCH(1,INDEX((TRANSAKSI_LOG!$C$2:$C$998=$C$5)*(TRANSAKSI_LOG!$J$2:$J$998=H$7)*(TRANSAKSI_LOG!$E$2:$E$998&lt;=$B21)*(TRANSAKSI_LOG!$F$2:$F$998&gt;=$B21),0),0)) &amp; " - " &amp; INDEX(TRANSAKSI_LOG!$H$2:$H$998,MATCH(1,INDEX((TRANSAKSI_LOG!$C$2:$C$998=$C$5)*(TRANSAKSI_LOG!$J$2:$J$998=H$7)*(TRANSAKSI_LOG!$E$2:$E$998&lt;=$B21)*(TRANSAKSI_LOG!$F$2:$F$998&gt;=$B21),0),0)),"")</f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3">
        <v>0.3819444444444444</v>
      </c>
      <c r="C22" s="66" t="str">
        <f t="array" ref="C22">IFERROR(INDEX(TRANSAKSI_LOG!$M$2:$M$998,MATCH(1,INDEX((TRANSAKSI_LOG!$C$2:$C$998=$C$5)*(TRANSAKSI_LOG!$J$2:$J$998=C$7)*(TRANSAKSI_LOG!$E$2:$E$998&lt;=$B22)*(TRANSAKSI_LOG!$F$2:$F$998&gt;=$B22),0),0)) &amp; " - " &amp; INDEX(TRANSAKSI_LOG!$H$2:$H$998,MATCH(1,INDEX((TRANSAKSI_LOG!$C$2:$C$998=$C$5)*(TRANSAKSI_LOG!$J$2:$J$998=C$7)*(TRANSAKSI_LOG!$E$2:$E$998&lt;=$B22)*(TRANSAKSI_LOG!$F$2:$F$998&gt;=$B22),0),0)),"")</f>
        <v/>
      </c>
      <c r="D22" s="66" t="str">
        <f t="array" ref="D22">IFERROR(INDEX(TRANSAKSI_LOG!$M$2:$M$998,MATCH(1,INDEX((TRANSAKSI_LOG!$C$2:$C$998=$C$5)*(TRANSAKSI_LOG!$J$2:$J$998=D$7)*(TRANSAKSI_LOG!$E$2:$E$998&lt;=$B22)*(TRANSAKSI_LOG!$F$2:$F$998&gt;=$B22),0),0)) &amp; " - " &amp; INDEX(TRANSAKSI_LOG!$H$2:$H$998,MATCH(1,INDEX((TRANSAKSI_LOG!$C$2:$C$998=$C$5)*(TRANSAKSI_LOG!$J$2:$J$998=D$7)*(TRANSAKSI_LOG!$E$2:$E$998&lt;=$B22)*(TRANSAKSI_LOG!$F$2:$F$998&gt;=$B22),0),0)),"")</f>
        <v/>
      </c>
      <c r="E22" s="66" t="str">
        <f t="array" ref="E22">IFERROR(INDEX(TRANSAKSI_LOG!$M$2:$M$998,MATCH(1,INDEX((TRANSAKSI_LOG!$C$2:$C$998=$C$5)*(TRANSAKSI_LOG!$J$2:$J$998=E$7)*(TRANSAKSI_LOG!$E$2:$E$998&lt;=$B22)*(TRANSAKSI_LOG!$F$2:$F$998&gt;=$B22),0),0)) &amp; " - " &amp; INDEX(TRANSAKSI_LOG!$H$2:$H$998,MATCH(1,INDEX((TRANSAKSI_LOG!$C$2:$C$998=$C$5)*(TRANSAKSI_LOG!$J$2:$J$998=E$7)*(TRANSAKSI_LOG!$E$2:$E$998&lt;=$B22)*(TRANSAKSI_LOG!$F$2:$F$998&gt;=$B22),0),0)),"")</f>
        <v/>
      </c>
      <c r="F22" s="66" t="str">
        <f t="array" ref="F22">IFERROR(INDEX(TRANSAKSI_LOG!$M$2:$M$998,MATCH(1,INDEX((TRANSAKSI_LOG!$C$2:$C$998=$C$5)*(TRANSAKSI_LOG!$J$2:$J$998=F$7)*(TRANSAKSI_LOG!$E$2:$E$998&lt;=$B22)*(TRANSAKSI_LOG!$F$2:$F$998&gt;=$B22),0),0)) &amp; " - " &amp; INDEX(TRANSAKSI_LOG!$H$2:$H$998,MATCH(1,INDEX((TRANSAKSI_LOG!$C$2:$C$998=$C$5)*(TRANSAKSI_LOG!$J$2:$J$998=F$7)*(TRANSAKSI_LOG!$E$2:$E$998&lt;=$B22)*(TRANSAKSI_LOG!$F$2:$F$998&gt;=$B22),0),0)),"")</f>
        <v>iuiuiu - Colic Relief Massage Baby (Pijat Kolik)</v>
      </c>
      <c r="G22" s="66" t="str">
        <f t="array" ref="G22">IFERROR(INDEX(TRANSAKSI_LOG!$M$2:$M$998,MATCH(1,INDEX((TRANSAKSI_LOG!$C$2:$C$998=$C$5)*(TRANSAKSI_LOG!$J$2:$J$998=G$7)*(TRANSAKSI_LOG!$E$2:$E$998&lt;=$B22)*(TRANSAKSI_LOG!$F$2:$F$998&gt;=$B22),0),0)) &amp; " - " &amp; INDEX(TRANSAKSI_LOG!$H$2:$H$998,MATCH(1,INDEX((TRANSAKSI_LOG!$C$2:$C$998=$C$5)*(TRANSAKSI_LOG!$J$2:$J$998=G$7)*(TRANSAKSI_LOG!$E$2:$E$998&lt;=$B22)*(TRANSAKSI_LOG!$F$2:$F$998&gt;=$B22),0),0)),"")</f>
        <v/>
      </c>
      <c r="H22" s="66" t="str">
        <f t="array" ref="H22">IFERROR(INDEX(TRANSAKSI_LOG!$M$2:$M$998,MATCH(1,INDEX((TRANSAKSI_LOG!$C$2:$C$998=$C$5)*(TRANSAKSI_LOG!$J$2:$J$998=H$7)*(TRANSAKSI_LOG!$E$2:$E$998&lt;=$B22)*(TRANSAKSI_LOG!$F$2:$F$998&gt;=$B22),0),0)) &amp; " - " &amp; INDEX(TRANSAKSI_LOG!$H$2:$H$998,MATCH(1,INDEX((TRANSAKSI_LOG!$C$2:$C$998=$C$5)*(TRANSAKSI_LOG!$J$2:$J$998=H$7)*(TRANSAKSI_LOG!$E$2:$E$998&lt;=$B22)*(TRANSAKSI_LOG!$F$2:$F$998&gt;=$B22),0),0)),"")</f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3">
        <v>0.3854166666666667</v>
      </c>
      <c r="C23" s="66" t="str">
        <f t="array" ref="C23">IFERROR(INDEX(TRANSAKSI_LOG!$M$2:$M$998,MATCH(1,INDEX((TRANSAKSI_LOG!$C$2:$C$998=$C$5)*(TRANSAKSI_LOG!$J$2:$J$998=C$7)*(TRANSAKSI_LOG!$E$2:$E$998&lt;=$B23)*(TRANSAKSI_LOG!$F$2:$F$998&gt;=$B23),0),0)) &amp; " - " &amp; INDEX(TRANSAKSI_LOG!$H$2:$H$998,MATCH(1,INDEX((TRANSAKSI_LOG!$C$2:$C$998=$C$5)*(TRANSAKSI_LOG!$J$2:$J$998=C$7)*(TRANSAKSI_LOG!$E$2:$E$998&lt;=$B23)*(TRANSAKSI_LOG!$F$2:$F$998&gt;=$B23),0),0)),"")</f>
        <v/>
      </c>
      <c r="D23" s="66" t="str">
        <f t="array" ref="D23">IFERROR(INDEX(TRANSAKSI_LOG!$M$2:$M$998,MATCH(1,INDEX((TRANSAKSI_LOG!$C$2:$C$998=$C$5)*(TRANSAKSI_LOG!$J$2:$J$998=D$7)*(TRANSAKSI_LOG!$E$2:$E$998&lt;=$B23)*(TRANSAKSI_LOG!$F$2:$F$998&gt;=$B23),0),0)) &amp; " - " &amp; INDEX(TRANSAKSI_LOG!$H$2:$H$998,MATCH(1,INDEX((TRANSAKSI_LOG!$C$2:$C$998=$C$5)*(TRANSAKSI_LOG!$J$2:$J$998=D$7)*(TRANSAKSI_LOG!$E$2:$E$998&lt;=$B23)*(TRANSAKSI_LOG!$F$2:$F$998&gt;=$B23),0),0)),"")</f>
        <v/>
      </c>
      <c r="E23" s="66" t="str">
        <f t="array" ref="E23">IFERROR(INDEX(TRANSAKSI_LOG!$M$2:$M$998,MATCH(1,INDEX((TRANSAKSI_LOG!$C$2:$C$998=$C$5)*(TRANSAKSI_LOG!$J$2:$J$998=E$7)*(TRANSAKSI_LOG!$E$2:$E$998&lt;=$B23)*(TRANSAKSI_LOG!$F$2:$F$998&gt;=$B23),0),0)) &amp; " - " &amp; INDEX(TRANSAKSI_LOG!$H$2:$H$998,MATCH(1,INDEX((TRANSAKSI_LOG!$C$2:$C$998=$C$5)*(TRANSAKSI_LOG!$J$2:$J$998=E$7)*(TRANSAKSI_LOG!$E$2:$E$998&lt;=$B23)*(TRANSAKSI_LOG!$F$2:$F$998&gt;=$B23),0),0)),"")</f>
        <v/>
      </c>
      <c r="F23" s="66" t="str">
        <f t="array" ref="F23">IFERROR(INDEX(TRANSAKSI_LOG!$M$2:$M$998,MATCH(1,INDEX((TRANSAKSI_LOG!$C$2:$C$998=$C$5)*(TRANSAKSI_LOG!$J$2:$J$998=F$7)*(TRANSAKSI_LOG!$E$2:$E$998&lt;=$B23)*(TRANSAKSI_LOG!$F$2:$F$998&gt;=$B23),0),0)) &amp; " - " &amp; INDEX(TRANSAKSI_LOG!$H$2:$H$998,MATCH(1,INDEX((TRANSAKSI_LOG!$C$2:$C$998=$C$5)*(TRANSAKSI_LOG!$J$2:$J$998=F$7)*(TRANSAKSI_LOG!$E$2:$E$998&lt;=$B23)*(TRANSAKSI_LOG!$F$2:$F$998&gt;=$B23),0),0)),"")</f>
        <v>iuiuiu - Colic Relief Massage Baby (Pijat Kolik)</v>
      </c>
      <c r="G23" s="66" t="str">
        <f t="array" ref="G23">IFERROR(INDEX(TRANSAKSI_LOG!$M$2:$M$998,MATCH(1,INDEX((TRANSAKSI_LOG!$C$2:$C$998=$C$5)*(TRANSAKSI_LOG!$J$2:$J$998=G$7)*(TRANSAKSI_LOG!$E$2:$E$998&lt;=$B23)*(TRANSAKSI_LOG!$F$2:$F$998&gt;=$B23),0),0)) &amp; " - " &amp; INDEX(TRANSAKSI_LOG!$H$2:$H$998,MATCH(1,INDEX((TRANSAKSI_LOG!$C$2:$C$998=$C$5)*(TRANSAKSI_LOG!$J$2:$J$998=G$7)*(TRANSAKSI_LOG!$E$2:$E$998&lt;=$B23)*(TRANSAKSI_LOG!$F$2:$F$998&gt;=$B23),0),0)),"")</f>
        <v/>
      </c>
      <c r="H23" s="66" t="str">
        <f t="array" ref="H23">IFERROR(INDEX(TRANSAKSI_LOG!$M$2:$M$998,MATCH(1,INDEX((TRANSAKSI_LOG!$C$2:$C$998=$C$5)*(TRANSAKSI_LOG!$J$2:$J$998=H$7)*(TRANSAKSI_LOG!$E$2:$E$998&lt;=$B23)*(TRANSAKSI_LOG!$F$2:$F$998&gt;=$B23),0),0)) &amp; " - " &amp; INDEX(TRANSAKSI_LOG!$H$2:$H$998,MATCH(1,INDEX((TRANSAKSI_LOG!$C$2:$C$998=$C$5)*(TRANSAKSI_LOG!$J$2:$J$998=H$7)*(TRANSAKSI_LOG!$E$2:$E$998&lt;=$B23)*(TRANSAKSI_LOG!$F$2:$F$998&gt;=$B23),0),0)),"")</f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3">
        <v>0.3888888888888889</v>
      </c>
      <c r="C24" s="66" t="str">
        <f t="array" ref="C24">IFERROR(INDEX(TRANSAKSI_LOG!$M$2:$M$998,MATCH(1,INDEX((TRANSAKSI_LOG!$C$2:$C$998=$C$5)*(TRANSAKSI_LOG!$J$2:$J$998=C$7)*(TRANSAKSI_LOG!$E$2:$E$998&lt;=$B24)*(TRANSAKSI_LOG!$F$2:$F$998&gt;=$B24),0),0)) &amp; " - " &amp; INDEX(TRANSAKSI_LOG!$H$2:$H$998,MATCH(1,INDEX((TRANSAKSI_LOG!$C$2:$C$998=$C$5)*(TRANSAKSI_LOG!$J$2:$J$998=C$7)*(TRANSAKSI_LOG!$E$2:$E$998&lt;=$B24)*(TRANSAKSI_LOG!$F$2:$F$998&gt;=$B24),0),0)),"")</f>
        <v/>
      </c>
      <c r="D24" s="66" t="str">
        <f t="array" ref="D24">IFERROR(INDEX(TRANSAKSI_LOG!$M$2:$M$998,MATCH(1,INDEX((TRANSAKSI_LOG!$C$2:$C$998=$C$5)*(TRANSAKSI_LOG!$J$2:$J$998=D$7)*(TRANSAKSI_LOG!$E$2:$E$998&lt;=$B24)*(TRANSAKSI_LOG!$F$2:$F$998&gt;=$B24),0),0)) &amp; " - " &amp; INDEX(TRANSAKSI_LOG!$H$2:$H$998,MATCH(1,INDEX((TRANSAKSI_LOG!$C$2:$C$998=$C$5)*(TRANSAKSI_LOG!$J$2:$J$998=D$7)*(TRANSAKSI_LOG!$E$2:$E$998&lt;=$B24)*(TRANSAKSI_LOG!$F$2:$F$998&gt;=$B24),0),0)),"")</f>
        <v/>
      </c>
      <c r="E24" s="66" t="str">
        <f t="array" ref="E24">IFERROR(INDEX(TRANSAKSI_LOG!$M$2:$M$998,MATCH(1,INDEX((TRANSAKSI_LOG!$C$2:$C$998=$C$5)*(TRANSAKSI_LOG!$J$2:$J$998=E$7)*(TRANSAKSI_LOG!$E$2:$E$998&lt;=$B24)*(TRANSAKSI_LOG!$F$2:$F$998&gt;=$B24),0),0)) &amp; " - " &amp; INDEX(TRANSAKSI_LOG!$H$2:$H$998,MATCH(1,INDEX((TRANSAKSI_LOG!$C$2:$C$998=$C$5)*(TRANSAKSI_LOG!$J$2:$J$998=E$7)*(TRANSAKSI_LOG!$E$2:$E$998&lt;=$B24)*(TRANSAKSI_LOG!$F$2:$F$998&gt;=$B24),0),0)),"")</f>
        <v/>
      </c>
      <c r="F24" s="66" t="str">
        <f t="array" ref="F24">IFERROR(INDEX(TRANSAKSI_LOG!$M$2:$M$998,MATCH(1,INDEX((TRANSAKSI_LOG!$C$2:$C$998=$C$5)*(TRANSAKSI_LOG!$J$2:$J$998=F$7)*(TRANSAKSI_LOG!$E$2:$E$998&lt;=$B24)*(TRANSAKSI_LOG!$F$2:$F$998&gt;=$B24),0),0)) &amp; " - " &amp; INDEX(TRANSAKSI_LOG!$H$2:$H$998,MATCH(1,INDEX((TRANSAKSI_LOG!$C$2:$C$998=$C$5)*(TRANSAKSI_LOG!$J$2:$J$998=F$7)*(TRANSAKSI_LOG!$E$2:$E$998&lt;=$B24)*(TRANSAKSI_LOG!$F$2:$F$998&gt;=$B24),0),0)),"")</f>
        <v>iuiuiu - Colic Relief Massage Baby (Pijat Kolik)</v>
      </c>
      <c r="G24" s="66" t="str">
        <f t="array" ref="G24">IFERROR(INDEX(TRANSAKSI_LOG!$M$2:$M$998,MATCH(1,INDEX((TRANSAKSI_LOG!$C$2:$C$998=$C$5)*(TRANSAKSI_LOG!$J$2:$J$998=G$7)*(TRANSAKSI_LOG!$E$2:$E$998&lt;=$B24)*(TRANSAKSI_LOG!$F$2:$F$998&gt;=$B24),0),0)) &amp; " - " &amp; INDEX(TRANSAKSI_LOG!$H$2:$H$998,MATCH(1,INDEX((TRANSAKSI_LOG!$C$2:$C$998=$C$5)*(TRANSAKSI_LOG!$J$2:$J$998=G$7)*(TRANSAKSI_LOG!$E$2:$E$998&lt;=$B24)*(TRANSAKSI_LOG!$F$2:$F$998&gt;=$B24),0),0)),"")</f>
        <v/>
      </c>
      <c r="H24" s="66" t="str">
        <f t="array" ref="H24">IFERROR(INDEX(TRANSAKSI_LOG!$M$2:$M$998,MATCH(1,INDEX((TRANSAKSI_LOG!$C$2:$C$998=$C$5)*(TRANSAKSI_LOG!$J$2:$J$998=H$7)*(TRANSAKSI_LOG!$E$2:$E$998&lt;=$B24)*(TRANSAKSI_LOG!$F$2:$F$998&gt;=$B24),0),0)) &amp; " - " &amp; INDEX(TRANSAKSI_LOG!$H$2:$H$998,MATCH(1,INDEX((TRANSAKSI_LOG!$C$2:$C$998=$C$5)*(TRANSAKSI_LOG!$J$2:$J$998=H$7)*(TRANSAKSI_LOG!$E$2:$E$998&lt;=$B24)*(TRANSAKSI_LOG!$F$2:$F$998&gt;=$B24),0),0)),"")</f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3">
        <v>0.3923611111111111</v>
      </c>
      <c r="C25" s="66" t="str">
        <f t="array" ref="C25">IFERROR(INDEX(TRANSAKSI_LOG!$M$2:$M$998,MATCH(1,INDEX((TRANSAKSI_LOG!$C$2:$C$998=$C$5)*(TRANSAKSI_LOG!$J$2:$J$998=C$7)*(TRANSAKSI_LOG!$E$2:$E$998&lt;=$B25)*(TRANSAKSI_LOG!$F$2:$F$998&gt;=$B25),0),0)) &amp; " - " &amp; INDEX(TRANSAKSI_LOG!$H$2:$H$998,MATCH(1,INDEX((TRANSAKSI_LOG!$C$2:$C$998=$C$5)*(TRANSAKSI_LOG!$J$2:$J$998=C$7)*(TRANSAKSI_LOG!$E$2:$E$998&lt;=$B25)*(TRANSAKSI_LOG!$F$2:$F$998&gt;=$B25),0),0)),"")</f>
        <v/>
      </c>
      <c r="D25" s="66" t="str">
        <f t="array" ref="D25">IFERROR(INDEX(TRANSAKSI_LOG!$M$2:$M$998,MATCH(1,INDEX((TRANSAKSI_LOG!$C$2:$C$998=$C$5)*(TRANSAKSI_LOG!$J$2:$J$998=D$7)*(TRANSAKSI_LOG!$E$2:$E$998&lt;=$B25)*(TRANSAKSI_LOG!$F$2:$F$998&gt;=$B25),0),0)) &amp; " - " &amp; INDEX(TRANSAKSI_LOG!$H$2:$H$998,MATCH(1,INDEX((TRANSAKSI_LOG!$C$2:$C$998=$C$5)*(TRANSAKSI_LOG!$J$2:$J$998=D$7)*(TRANSAKSI_LOG!$E$2:$E$998&lt;=$B25)*(TRANSAKSI_LOG!$F$2:$F$998&gt;=$B25),0),0)),"")</f>
        <v/>
      </c>
      <c r="E25" s="66" t="str">
        <f t="array" ref="E25">IFERROR(INDEX(TRANSAKSI_LOG!$M$2:$M$998,MATCH(1,INDEX((TRANSAKSI_LOG!$C$2:$C$998=$C$5)*(TRANSAKSI_LOG!$J$2:$J$998=E$7)*(TRANSAKSI_LOG!$E$2:$E$998&lt;=$B25)*(TRANSAKSI_LOG!$F$2:$F$998&gt;=$B25),0),0)) &amp; " - " &amp; INDEX(TRANSAKSI_LOG!$H$2:$H$998,MATCH(1,INDEX((TRANSAKSI_LOG!$C$2:$C$998=$C$5)*(TRANSAKSI_LOG!$J$2:$J$998=E$7)*(TRANSAKSI_LOG!$E$2:$E$998&lt;=$B25)*(TRANSAKSI_LOG!$F$2:$F$998&gt;=$B25),0),0)),"")</f>
        <v/>
      </c>
      <c r="F25" s="66" t="str">
        <f t="array" ref="F25">IFERROR(INDEX(TRANSAKSI_LOG!$M$2:$M$998,MATCH(1,INDEX((TRANSAKSI_LOG!$C$2:$C$998=$C$5)*(TRANSAKSI_LOG!$J$2:$J$998=F$7)*(TRANSAKSI_LOG!$E$2:$E$998&lt;=$B25)*(TRANSAKSI_LOG!$F$2:$F$998&gt;=$B25),0),0)) &amp; " - " &amp; INDEX(TRANSAKSI_LOG!$H$2:$H$998,MATCH(1,INDEX((TRANSAKSI_LOG!$C$2:$C$998=$C$5)*(TRANSAKSI_LOG!$J$2:$J$998=F$7)*(TRANSAKSI_LOG!$E$2:$E$998&lt;=$B25)*(TRANSAKSI_LOG!$F$2:$F$998&gt;=$B25),0),0)),"")</f>
        <v>iuiuiu - Colic Relief Massage Baby (Pijat Kolik)</v>
      </c>
      <c r="G25" s="66" t="str">
        <f t="array" ref="G25">IFERROR(INDEX(TRANSAKSI_LOG!$M$2:$M$998,MATCH(1,INDEX((TRANSAKSI_LOG!$C$2:$C$998=$C$5)*(TRANSAKSI_LOG!$J$2:$J$998=G$7)*(TRANSAKSI_LOG!$E$2:$E$998&lt;=$B25)*(TRANSAKSI_LOG!$F$2:$F$998&gt;=$B25),0),0)) &amp; " - " &amp; INDEX(TRANSAKSI_LOG!$H$2:$H$998,MATCH(1,INDEX((TRANSAKSI_LOG!$C$2:$C$998=$C$5)*(TRANSAKSI_LOG!$J$2:$J$998=G$7)*(TRANSAKSI_LOG!$E$2:$E$998&lt;=$B25)*(TRANSAKSI_LOG!$F$2:$F$998&gt;=$B25),0),0)),"")</f>
        <v/>
      </c>
      <c r="H25" s="66" t="str">
        <f t="array" ref="H25">IFERROR(INDEX(TRANSAKSI_LOG!$M$2:$M$998,MATCH(1,INDEX((TRANSAKSI_LOG!$C$2:$C$998=$C$5)*(TRANSAKSI_LOG!$J$2:$J$998=H$7)*(TRANSAKSI_LOG!$E$2:$E$998&lt;=$B25)*(TRANSAKSI_LOG!$F$2:$F$998&gt;=$B25),0),0)) &amp; " - " &amp; INDEX(TRANSAKSI_LOG!$H$2:$H$998,MATCH(1,INDEX((TRANSAKSI_LOG!$C$2:$C$998=$C$5)*(TRANSAKSI_LOG!$J$2:$J$998=H$7)*(TRANSAKSI_LOG!$E$2:$E$998&lt;=$B25)*(TRANSAKSI_LOG!$F$2:$F$998&gt;=$B25),0),0)),"")</f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3">
        <v>0.3958333333333333</v>
      </c>
      <c r="C26" s="66" t="str">
        <f t="array" ref="C26">IFERROR(INDEX(TRANSAKSI_LOG!$M$2:$M$998,MATCH(1,INDEX((TRANSAKSI_LOG!$C$2:$C$998=$C$5)*(TRANSAKSI_LOG!$J$2:$J$998=C$7)*(TRANSAKSI_LOG!$E$2:$E$998&lt;=$B26)*(TRANSAKSI_LOG!$F$2:$F$998&gt;=$B26),0),0)) &amp; " - " &amp; INDEX(TRANSAKSI_LOG!$H$2:$H$998,MATCH(1,INDEX((TRANSAKSI_LOG!$C$2:$C$998=$C$5)*(TRANSAKSI_LOG!$J$2:$J$998=C$7)*(TRANSAKSI_LOG!$E$2:$E$998&lt;=$B26)*(TRANSAKSI_LOG!$F$2:$F$998&gt;=$B26),0),0)),"")</f>
        <v/>
      </c>
      <c r="D26" s="66" t="str">
        <f t="array" ref="D26">IFERROR(INDEX(TRANSAKSI_LOG!$M$2:$M$998,MATCH(1,INDEX((TRANSAKSI_LOG!$C$2:$C$998=$C$5)*(TRANSAKSI_LOG!$J$2:$J$998=D$7)*(TRANSAKSI_LOG!$E$2:$E$998&lt;=$B26)*(TRANSAKSI_LOG!$F$2:$F$998&gt;=$B26),0),0)) &amp; " - " &amp; INDEX(TRANSAKSI_LOG!$H$2:$H$998,MATCH(1,INDEX((TRANSAKSI_LOG!$C$2:$C$998=$C$5)*(TRANSAKSI_LOG!$J$2:$J$998=D$7)*(TRANSAKSI_LOG!$E$2:$E$998&lt;=$B26)*(TRANSAKSI_LOG!$F$2:$F$998&gt;=$B26),0),0)),"")</f>
        <v/>
      </c>
      <c r="E26" s="66" t="str">
        <f t="array" ref="E26">IFERROR(INDEX(TRANSAKSI_LOG!$M$2:$M$998,MATCH(1,INDEX((TRANSAKSI_LOG!$C$2:$C$998=$C$5)*(TRANSAKSI_LOG!$J$2:$J$998=E$7)*(TRANSAKSI_LOG!$E$2:$E$998&lt;=$B26)*(TRANSAKSI_LOG!$F$2:$F$998&gt;=$B26),0),0)) &amp; " - " &amp; INDEX(TRANSAKSI_LOG!$H$2:$H$998,MATCH(1,INDEX((TRANSAKSI_LOG!$C$2:$C$998=$C$5)*(TRANSAKSI_LOG!$J$2:$J$998=E$7)*(TRANSAKSI_LOG!$E$2:$E$998&lt;=$B26)*(TRANSAKSI_LOG!$F$2:$F$998&gt;=$B26),0),0)),"")</f>
        <v/>
      </c>
      <c r="F26" s="66" t="str">
        <f t="array" ref="F26">IFERROR(INDEX(TRANSAKSI_LOG!$M$2:$M$998,MATCH(1,INDEX((TRANSAKSI_LOG!$C$2:$C$998=$C$5)*(TRANSAKSI_LOG!$J$2:$J$998=F$7)*(TRANSAKSI_LOG!$E$2:$E$998&lt;=$B26)*(TRANSAKSI_LOG!$F$2:$F$998&gt;=$B26),0),0)) &amp; " - " &amp; INDEX(TRANSAKSI_LOG!$H$2:$H$998,MATCH(1,INDEX((TRANSAKSI_LOG!$C$2:$C$998=$C$5)*(TRANSAKSI_LOG!$J$2:$J$998=F$7)*(TRANSAKSI_LOG!$E$2:$E$998&lt;=$B26)*(TRANSAKSI_LOG!$F$2:$F$998&gt;=$B26),0),0)),"")</f>
        <v>iuiuiu - Colic Relief Massage Baby (Pijat Kolik)</v>
      </c>
      <c r="G26" s="66" t="str">
        <f t="array" ref="G26">IFERROR(INDEX(TRANSAKSI_LOG!$M$2:$M$998,MATCH(1,INDEX((TRANSAKSI_LOG!$C$2:$C$998=$C$5)*(TRANSAKSI_LOG!$J$2:$J$998=G$7)*(TRANSAKSI_LOG!$E$2:$E$998&lt;=$B26)*(TRANSAKSI_LOG!$F$2:$F$998&gt;=$B26),0),0)) &amp; " - " &amp; INDEX(TRANSAKSI_LOG!$H$2:$H$998,MATCH(1,INDEX((TRANSAKSI_LOG!$C$2:$C$998=$C$5)*(TRANSAKSI_LOG!$J$2:$J$998=G$7)*(TRANSAKSI_LOG!$E$2:$E$998&lt;=$B26)*(TRANSAKSI_LOG!$F$2:$F$998&gt;=$B26),0),0)),"")</f>
        <v/>
      </c>
      <c r="H26" s="66" t="str">
        <f t="array" ref="H26">IFERROR(INDEX(TRANSAKSI_LOG!$M$2:$M$998,MATCH(1,INDEX((TRANSAKSI_LOG!$C$2:$C$998=$C$5)*(TRANSAKSI_LOG!$J$2:$J$998=H$7)*(TRANSAKSI_LOG!$E$2:$E$998&lt;=$B26)*(TRANSAKSI_LOG!$F$2:$F$998&gt;=$B26),0),0)) &amp; " - " &amp; INDEX(TRANSAKSI_LOG!$H$2:$H$998,MATCH(1,INDEX((TRANSAKSI_LOG!$C$2:$C$998=$C$5)*(TRANSAKSI_LOG!$J$2:$J$998=H$7)*(TRANSAKSI_LOG!$E$2:$E$998&lt;=$B26)*(TRANSAKSI_LOG!$F$2:$F$998&gt;=$B26),0),0)),"")</f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3">
        <v>0.3993055555555556</v>
      </c>
      <c r="C27" s="66" t="str">
        <f t="array" ref="C27">IFERROR(INDEX(TRANSAKSI_LOG!$M$2:$M$998,MATCH(1,INDEX((TRANSAKSI_LOG!$C$2:$C$998=$C$5)*(TRANSAKSI_LOG!$J$2:$J$998=C$7)*(TRANSAKSI_LOG!$E$2:$E$998&lt;=$B27)*(TRANSAKSI_LOG!$F$2:$F$998&gt;=$B27),0),0)) &amp; " - " &amp; INDEX(TRANSAKSI_LOG!$H$2:$H$998,MATCH(1,INDEX((TRANSAKSI_LOG!$C$2:$C$998=$C$5)*(TRANSAKSI_LOG!$J$2:$J$998=C$7)*(TRANSAKSI_LOG!$E$2:$E$998&lt;=$B27)*(TRANSAKSI_LOG!$F$2:$F$998&gt;=$B27),0),0)),"")</f>
        <v/>
      </c>
      <c r="D27" s="66" t="str">
        <f t="array" ref="D27">IFERROR(INDEX(TRANSAKSI_LOG!$M$2:$M$998,MATCH(1,INDEX((TRANSAKSI_LOG!$C$2:$C$998=$C$5)*(TRANSAKSI_LOG!$J$2:$J$998=D$7)*(TRANSAKSI_LOG!$E$2:$E$998&lt;=$B27)*(TRANSAKSI_LOG!$F$2:$F$998&gt;=$B27),0),0)) &amp; " - " &amp; INDEX(TRANSAKSI_LOG!$H$2:$H$998,MATCH(1,INDEX((TRANSAKSI_LOG!$C$2:$C$998=$C$5)*(TRANSAKSI_LOG!$J$2:$J$998=D$7)*(TRANSAKSI_LOG!$E$2:$E$998&lt;=$B27)*(TRANSAKSI_LOG!$F$2:$F$998&gt;=$B27),0),0)),"")</f>
        <v/>
      </c>
      <c r="E27" s="66" t="str">
        <f t="array" ref="E27">IFERROR(INDEX(TRANSAKSI_LOG!$M$2:$M$998,MATCH(1,INDEX((TRANSAKSI_LOG!$C$2:$C$998=$C$5)*(TRANSAKSI_LOG!$J$2:$J$998=E$7)*(TRANSAKSI_LOG!$E$2:$E$998&lt;=$B27)*(TRANSAKSI_LOG!$F$2:$F$998&gt;=$B27),0),0)) &amp; " - " &amp; INDEX(TRANSAKSI_LOG!$H$2:$H$998,MATCH(1,INDEX((TRANSAKSI_LOG!$C$2:$C$998=$C$5)*(TRANSAKSI_LOG!$J$2:$J$998=E$7)*(TRANSAKSI_LOG!$E$2:$E$998&lt;=$B27)*(TRANSAKSI_LOG!$F$2:$F$998&gt;=$B27),0),0)),"")</f>
        <v/>
      </c>
      <c r="F27" s="66" t="str">
        <f t="array" ref="F27">IFERROR(INDEX(TRANSAKSI_LOG!$M$2:$M$998,MATCH(1,INDEX((TRANSAKSI_LOG!$C$2:$C$998=$C$5)*(TRANSAKSI_LOG!$J$2:$J$998=F$7)*(TRANSAKSI_LOG!$E$2:$E$998&lt;=$B27)*(TRANSAKSI_LOG!$F$2:$F$998&gt;=$B27),0),0)) &amp; " - " &amp; INDEX(TRANSAKSI_LOG!$H$2:$H$998,MATCH(1,INDEX((TRANSAKSI_LOG!$C$2:$C$998=$C$5)*(TRANSAKSI_LOG!$J$2:$J$998=F$7)*(TRANSAKSI_LOG!$E$2:$E$998&lt;=$B27)*(TRANSAKSI_LOG!$F$2:$F$998&gt;=$B27),0),0)),"")</f>
        <v>iuiuiu - Colic Relief Massage Baby (Pijat Kolik)</v>
      </c>
      <c r="G27" s="66" t="str">
        <f t="array" ref="G27">IFERROR(INDEX(TRANSAKSI_LOG!$M$2:$M$998,MATCH(1,INDEX((TRANSAKSI_LOG!$C$2:$C$998=$C$5)*(TRANSAKSI_LOG!$J$2:$J$998=G$7)*(TRANSAKSI_LOG!$E$2:$E$998&lt;=$B27)*(TRANSAKSI_LOG!$F$2:$F$998&gt;=$B27),0),0)) &amp; " - " &amp; INDEX(TRANSAKSI_LOG!$H$2:$H$998,MATCH(1,INDEX((TRANSAKSI_LOG!$C$2:$C$998=$C$5)*(TRANSAKSI_LOG!$J$2:$J$998=G$7)*(TRANSAKSI_LOG!$E$2:$E$998&lt;=$B27)*(TRANSAKSI_LOG!$F$2:$F$998&gt;=$B27),0),0)),"")</f>
        <v/>
      </c>
      <c r="H27" s="66" t="str">
        <f t="array" ref="H27">IFERROR(INDEX(TRANSAKSI_LOG!$M$2:$M$998,MATCH(1,INDEX((TRANSAKSI_LOG!$C$2:$C$998=$C$5)*(TRANSAKSI_LOG!$J$2:$J$998=H$7)*(TRANSAKSI_LOG!$E$2:$E$998&lt;=$B27)*(TRANSAKSI_LOG!$F$2:$F$998&gt;=$B27),0),0)) &amp; " - " &amp; INDEX(TRANSAKSI_LOG!$H$2:$H$998,MATCH(1,INDEX((TRANSAKSI_LOG!$C$2:$C$998=$C$5)*(TRANSAKSI_LOG!$J$2:$J$998=H$7)*(TRANSAKSI_LOG!$E$2:$E$998&lt;=$B27)*(TRANSAKSI_LOG!$F$2:$F$998&gt;=$B27),0),0)),"")</f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3">
        <v>0.4027777777777778</v>
      </c>
      <c r="C28" s="66" t="str">
        <f t="array" ref="C28">IFERROR(INDEX(TRANSAKSI_LOG!$M$2:$M$998,MATCH(1,INDEX((TRANSAKSI_LOG!$C$2:$C$998=$C$5)*(TRANSAKSI_LOG!$J$2:$J$998=C$7)*(TRANSAKSI_LOG!$E$2:$E$998&lt;=$B28)*(TRANSAKSI_LOG!$F$2:$F$998&gt;=$B28),0),0)) &amp; " - " &amp; INDEX(TRANSAKSI_LOG!$H$2:$H$998,MATCH(1,INDEX((TRANSAKSI_LOG!$C$2:$C$998=$C$5)*(TRANSAKSI_LOG!$J$2:$J$998=C$7)*(TRANSAKSI_LOG!$E$2:$E$998&lt;=$B28)*(TRANSAKSI_LOG!$F$2:$F$998&gt;=$B28),0),0)),"")</f>
        <v/>
      </c>
      <c r="D28" s="66" t="str">
        <f t="array" ref="D28">IFERROR(INDEX(TRANSAKSI_LOG!$M$2:$M$998,MATCH(1,INDEX((TRANSAKSI_LOG!$C$2:$C$998=$C$5)*(TRANSAKSI_LOG!$J$2:$J$998=D$7)*(TRANSAKSI_LOG!$E$2:$E$998&lt;=$B28)*(TRANSAKSI_LOG!$F$2:$F$998&gt;=$B28),0),0)) &amp; " - " &amp; INDEX(TRANSAKSI_LOG!$H$2:$H$998,MATCH(1,INDEX((TRANSAKSI_LOG!$C$2:$C$998=$C$5)*(TRANSAKSI_LOG!$J$2:$J$998=D$7)*(TRANSAKSI_LOG!$E$2:$E$998&lt;=$B28)*(TRANSAKSI_LOG!$F$2:$F$998&gt;=$B28),0),0)),"")</f>
        <v/>
      </c>
      <c r="E28" s="66" t="str">
        <f t="array" ref="E28">IFERROR(INDEX(TRANSAKSI_LOG!$M$2:$M$998,MATCH(1,INDEX((TRANSAKSI_LOG!$C$2:$C$998=$C$5)*(TRANSAKSI_LOG!$J$2:$J$998=E$7)*(TRANSAKSI_LOG!$E$2:$E$998&lt;=$B28)*(TRANSAKSI_LOG!$F$2:$F$998&gt;=$B28),0),0)) &amp; " - " &amp; INDEX(TRANSAKSI_LOG!$H$2:$H$998,MATCH(1,INDEX((TRANSAKSI_LOG!$C$2:$C$998=$C$5)*(TRANSAKSI_LOG!$J$2:$J$998=E$7)*(TRANSAKSI_LOG!$E$2:$E$998&lt;=$B28)*(TRANSAKSI_LOG!$F$2:$F$998&gt;=$B28),0),0)),"")</f>
        <v/>
      </c>
      <c r="F28" s="66" t="str">
        <f t="array" ref="F28">IFERROR(INDEX(TRANSAKSI_LOG!$M$2:$M$998,MATCH(1,INDEX((TRANSAKSI_LOG!$C$2:$C$998=$C$5)*(TRANSAKSI_LOG!$J$2:$J$998=F$7)*(TRANSAKSI_LOG!$E$2:$E$998&lt;=$B28)*(TRANSAKSI_LOG!$F$2:$F$998&gt;=$B28),0),0)) &amp; " - " &amp; INDEX(TRANSAKSI_LOG!$H$2:$H$998,MATCH(1,INDEX((TRANSAKSI_LOG!$C$2:$C$998=$C$5)*(TRANSAKSI_LOG!$J$2:$J$998=F$7)*(TRANSAKSI_LOG!$E$2:$E$998&lt;=$B28)*(TRANSAKSI_LOG!$F$2:$F$998&gt;=$B28),0),0)),"")</f>
        <v>iuiuiu - Colic Relief Massage Baby (Pijat Kolik)</v>
      </c>
      <c r="G28" s="66" t="str">
        <f t="array" ref="G28">IFERROR(INDEX(TRANSAKSI_LOG!$M$2:$M$998,MATCH(1,INDEX((TRANSAKSI_LOG!$C$2:$C$998=$C$5)*(TRANSAKSI_LOG!$J$2:$J$998=G$7)*(TRANSAKSI_LOG!$E$2:$E$998&lt;=$B28)*(TRANSAKSI_LOG!$F$2:$F$998&gt;=$B28),0),0)) &amp; " - " &amp; INDEX(TRANSAKSI_LOG!$H$2:$H$998,MATCH(1,INDEX((TRANSAKSI_LOG!$C$2:$C$998=$C$5)*(TRANSAKSI_LOG!$J$2:$J$998=G$7)*(TRANSAKSI_LOG!$E$2:$E$998&lt;=$B28)*(TRANSAKSI_LOG!$F$2:$F$998&gt;=$B28),0),0)),"")</f>
        <v/>
      </c>
      <c r="H28" s="66" t="str">
        <f t="array" ref="H28">IFERROR(INDEX(TRANSAKSI_LOG!$M$2:$M$998,MATCH(1,INDEX((TRANSAKSI_LOG!$C$2:$C$998=$C$5)*(TRANSAKSI_LOG!$J$2:$J$998=H$7)*(TRANSAKSI_LOG!$E$2:$E$998&lt;=$B28)*(TRANSAKSI_LOG!$F$2:$F$998&gt;=$B28),0),0)) &amp; " - " &amp; INDEX(TRANSAKSI_LOG!$H$2:$H$998,MATCH(1,INDEX((TRANSAKSI_LOG!$C$2:$C$998=$C$5)*(TRANSAKSI_LOG!$J$2:$J$998=H$7)*(TRANSAKSI_LOG!$E$2:$E$998&lt;=$B28)*(TRANSAKSI_LOG!$F$2:$F$998&gt;=$B28),0),0)),"")</f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3">
        <v>0.40625</v>
      </c>
      <c r="C29" s="66" t="str">
        <f t="array" ref="C29">IFERROR(INDEX(TRANSAKSI_LOG!$M$2:$M$998,MATCH(1,INDEX((TRANSAKSI_LOG!$C$2:$C$998=$C$5)*(TRANSAKSI_LOG!$J$2:$J$998=C$7)*(TRANSAKSI_LOG!$E$2:$E$998&lt;=$B29)*(TRANSAKSI_LOG!$F$2:$F$998&gt;=$B29),0),0)) &amp; " - " &amp; INDEX(TRANSAKSI_LOG!$H$2:$H$998,MATCH(1,INDEX((TRANSAKSI_LOG!$C$2:$C$998=$C$5)*(TRANSAKSI_LOG!$J$2:$J$998=C$7)*(TRANSAKSI_LOG!$E$2:$E$998&lt;=$B29)*(TRANSAKSI_LOG!$F$2:$F$998&gt;=$B29),0),0)),"")</f>
        <v/>
      </c>
      <c r="D29" s="66" t="str">
        <f t="array" ref="D29">IFERROR(INDEX(TRANSAKSI_LOG!$M$2:$M$998,MATCH(1,INDEX((TRANSAKSI_LOG!$C$2:$C$998=$C$5)*(TRANSAKSI_LOG!$J$2:$J$998=D$7)*(TRANSAKSI_LOG!$E$2:$E$998&lt;=$B29)*(TRANSAKSI_LOG!$F$2:$F$998&gt;=$B29),0),0)) &amp; " - " &amp; INDEX(TRANSAKSI_LOG!$H$2:$H$998,MATCH(1,INDEX((TRANSAKSI_LOG!$C$2:$C$998=$C$5)*(TRANSAKSI_LOG!$J$2:$J$998=D$7)*(TRANSAKSI_LOG!$E$2:$E$998&lt;=$B29)*(TRANSAKSI_LOG!$F$2:$F$998&gt;=$B29),0),0)),"")</f>
        <v/>
      </c>
      <c r="E29" s="66" t="str">
        <f t="array" ref="E29">IFERROR(INDEX(TRANSAKSI_LOG!$M$2:$M$998,MATCH(1,INDEX((TRANSAKSI_LOG!$C$2:$C$998=$C$5)*(TRANSAKSI_LOG!$J$2:$J$998=E$7)*(TRANSAKSI_LOG!$E$2:$E$998&lt;=$B29)*(TRANSAKSI_LOG!$F$2:$F$998&gt;=$B29),0),0)) &amp; " - " &amp; INDEX(TRANSAKSI_LOG!$H$2:$H$998,MATCH(1,INDEX((TRANSAKSI_LOG!$C$2:$C$998=$C$5)*(TRANSAKSI_LOG!$J$2:$J$998=E$7)*(TRANSAKSI_LOG!$E$2:$E$998&lt;=$B29)*(TRANSAKSI_LOG!$F$2:$F$998&gt;=$B29),0),0)),"")</f>
        <v/>
      </c>
      <c r="F29" s="66" t="str">
        <f t="array" ref="F29">IFERROR(INDEX(TRANSAKSI_LOG!$M$2:$M$998,MATCH(1,INDEX((TRANSAKSI_LOG!$C$2:$C$998=$C$5)*(TRANSAKSI_LOG!$J$2:$J$998=F$7)*(TRANSAKSI_LOG!$E$2:$E$998&lt;=$B29)*(TRANSAKSI_LOG!$F$2:$F$998&gt;=$B29),0),0)) &amp; " - " &amp; INDEX(TRANSAKSI_LOG!$H$2:$H$998,MATCH(1,INDEX((TRANSAKSI_LOG!$C$2:$C$998=$C$5)*(TRANSAKSI_LOG!$J$2:$J$998=F$7)*(TRANSAKSI_LOG!$E$2:$E$998&lt;=$B29)*(TRANSAKSI_LOG!$F$2:$F$998&gt;=$B29),0),0)),"")</f>
        <v>iuiuiu - Colic Relief Massage Baby (Pijat Kolik)</v>
      </c>
      <c r="G29" s="66" t="str">
        <f t="array" ref="G29">IFERROR(INDEX(TRANSAKSI_LOG!$M$2:$M$998,MATCH(1,INDEX((TRANSAKSI_LOG!$C$2:$C$998=$C$5)*(TRANSAKSI_LOG!$J$2:$J$998=G$7)*(TRANSAKSI_LOG!$E$2:$E$998&lt;=$B29)*(TRANSAKSI_LOG!$F$2:$F$998&gt;=$B29),0),0)) &amp; " - " &amp; INDEX(TRANSAKSI_LOG!$H$2:$H$998,MATCH(1,INDEX((TRANSAKSI_LOG!$C$2:$C$998=$C$5)*(TRANSAKSI_LOG!$J$2:$J$998=G$7)*(TRANSAKSI_LOG!$E$2:$E$998&lt;=$B29)*(TRANSAKSI_LOG!$F$2:$F$998&gt;=$B29),0),0)),"")</f>
        <v/>
      </c>
      <c r="H29" s="66" t="str">
        <f t="array" ref="H29">IFERROR(INDEX(TRANSAKSI_LOG!$M$2:$M$998,MATCH(1,INDEX((TRANSAKSI_LOG!$C$2:$C$998=$C$5)*(TRANSAKSI_LOG!$J$2:$J$998=H$7)*(TRANSAKSI_LOG!$E$2:$E$998&lt;=$B29)*(TRANSAKSI_LOG!$F$2:$F$998&gt;=$B29),0),0)) &amp; " - " &amp; INDEX(TRANSAKSI_LOG!$H$2:$H$998,MATCH(1,INDEX((TRANSAKSI_LOG!$C$2:$C$998=$C$5)*(TRANSAKSI_LOG!$J$2:$J$998=H$7)*(TRANSAKSI_LOG!$E$2:$E$998&lt;=$B29)*(TRANSAKSI_LOG!$F$2:$F$998&gt;=$B29),0),0)),"")</f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3">
        <v>0.4097222222222222</v>
      </c>
      <c r="C30" s="66" t="str">
        <f t="array" ref="C30">IFERROR(INDEX(TRANSAKSI_LOG!$M$2:$M$998,MATCH(1,INDEX((TRANSAKSI_LOG!$C$2:$C$998=$C$5)*(TRANSAKSI_LOG!$J$2:$J$998=C$7)*(TRANSAKSI_LOG!$E$2:$E$998&lt;=$B30)*(TRANSAKSI_LOG!$F$2:$F$998&gt;=$B30),0),0)) &amp; " - " &amp; INDEX(TRANSAKSI_LOG!$H$2:$H$998,MATCH(1,INDEX((TRANSAKSI_LOG!$C$2:$C$998=$C$5)*(TRANSAKSI_LOG!$J$2:$J$998=C$7)*(TRANSAKSI_LOG!$E$2:$E$998&lt;=$B30)*(TRANSAKSI_LOG!$F$2:$F$998&gt;=$B30),0),0)),"")</f>
        <v/>
      </c>
      <c r="D30" s="66" t="str">
        <f t="array" ref="D30">IFERROR(INDEX(TRANSAKSI_LOG!$M$2:$M$998,MATCH(1,INDEX((TRANSAKSI_LOG!$C$2:$C$998=$C$5)*(TRANSAKSI_LOG!$J$2:$J$998=D$7)*(TRANSAKSI_LOG!$E$2:$E$998&lt;=$B30)*(TRANSAKSI_LOG!$F$2:$F$998&gt;=$B30),0),0)) &amp; " - " &amp; INDEX(TRANSAKSI_LOG!$H$2:$H$998,MATCH(1,INDEX((TRANSAKSI_LOG!$C$2:$C$998=$C$5)*(TRANSAKSI_LOG!$J$2:$J$998=D$7)*(TRANSAKSI_LOG!$E$2:$E$998&lt;=$B30)*(TRANSAKSI_LOG!$F$2:$F$998&gt;=$B30),0),0)),"")</f>
        <v/>
      </c>
      <c r="E30" s="66" t="str">
        <f t="array" ref="E30">IFERROR(INDEX(TRANSAKSI_LOG!$M$2:$M$998,MATCH(1,INDEX((TRANSAKSI_LOG!$C$2:$C$998=$C$5)*(TRANSAKSI_LOG!$J$2:$J$998=E$7)*(TRANSAKSI_LOG!$E$2:$E$998&lt;=$B30)*(TRANSAKSI_LOG!$F$2:$F$998&gt;=$B30),0),0)) &amp; " - " &amp; INDEX(TRANSAKSI_LOG!$H$2:$H$998,MATCH(1,INDEX((TRANSAKSI_LOG!$C$2:$C$998=$C$5)*(TRANSAKSI_LOG!$J$2:$J$998=E$7)*(TRANSAKSI_LOG!$E$2:$E$998&lt;=$B30)*(TRANSAKSI_LOG!$F$2:$F$998&gt;=$B30),0),0)),"")</f>
        <v/>
      </c>
      <c r="F30" s="66" t="str">
        <f t="array" ref="F30">IFERROR(INDEX(TRANSAKSI_LOG!$M$2:$M$998,MATCH(1,INDEX((TRANSAKSI_LOG!$C$2:$C$998=$C$5)*(TRANSAKSI_LOG!$J$2:$J$998=F$7)*(TRANSAKSI_LOG!$E$2:$E$998&lt;=$B30)*(TRANSAKSI_LOG!$F$2:$F$998&gt;=$B30),0),0)) &amp; " - " &amp; INDEX(TRANSAKSI_LOG!$H$2:$H$998,MATCH(1,INDEX((TRANSAKSI_LOG!$C$2:$C$998=$C$5)*(TRANSAKSI_LOG!$J$2:$J$998=F$7)*(TRANSAKSI_LOG!$E$2:$E$998&lt;=$B30)*(TRANSAKSI_LOG!$F$2:$F$998&gt;=$B30),0),0)),"")</f>
        <v>iuiuiu - Colic Relief Massage Baby (Pijat Kolik)</v>
      </c>
      <c r="G30" s="66" t="str">
        <f t="array" ref="G30">IFERROR(INDEX(TRANSAKSI_LOG!$M$2:$M$998,MATCH(1,INDEX((TRANSAKSI_LOG!$C$2:$C$998=$C$5)*(TRANSAKSI_LOG!$J$2:$J$998=G$7)*(TRANSAKSI_LOG!$E$2:$E$998&lt;=$B30)*(TRANSAKSI_LOG!$F$2:$F$998&gt;=$B30),0),0)) &amp; " - " &amp; INDEX(TRANSAKSI_LOG!$H$2:$H$998,MATCH(1,INDEX((TRANSAKSI_LOG!$C$2:$C$998=$C$5)*(TRANSAKSI_LOG!$J$2:$J$998=G$7)*(TRANSAKSI_LOG!$E$2:$E$998&lt;=$B30)*(TRANSAKSI_LOG!$F$2:$F$998&gt;=$B30),0),0)),"")</f>
        <v/>
      </c>
      <c r="H30" s="66" t="str">
        <f t="array" ref="H30">IFERROR(INDEX(TRANSAKSI_LOG!$M$2:$M$998,MATCH(1,INDEX((TRANSAKSI_LOG!$C$2:$C$998=$C$5)*(TRANSAKSI_LOG!$J$2:$J$998=H$7)*(TRANSAKSI_LOG!$E$2:$E$998&lt;=$B30)*(TRANSAKSI_LOG!$F$2:$F$998&gt;=$B30),0),0)) &amp; " - " &amp; INDEX(TRANSAKSI_LOG!$H$2:$H$998,MATCH(1,INDEX((TRANSAKSI_LOG!$C$2:$C$998=$C$5)*(TRANSAKSI_LOG!$J$2:$J$998=H$7)*(TRANSAKSI_LOG!$E$2:$E$998&lt;=$B30)*(TRANSAKSI_LOG!$F$2:$F$998&gt;=$B30),0),0)),"")</f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13">
        <v>0.4131944444444444</v>
      </c>
      <c r="C31" s="66" t="str">
        <f t="array" ref="C31">IFERROR(INDEX(TRANSAKSI_LOG!$M$2:$M$998,MATCH(1,INDEX((TRANSAKSI_LOG!$C$2:$C$998=$C$5)*(TRANSAKSI_LOG!$J$2:$J$998=C$7)*(TRANSAKSI_LOG!$E$2:$E$998&lt;=$B31)*(TRANSAKSI_LOG!$F$2:$F$998&gt;=$B31),0),0)) &amp; " - " &amp; INDEX(TRANSAKSI_LOG!$H$2:$H$998,MATCH(1,INDEX((TRANSAKSI_LOG!$C$2:$C$998=$C$5)*(TRANSAKSI_LOG!$J$2:$J$998=C$7)*(TRANSAKSI_LOG!$E$2:$E$998&lt;=$B31)*(TRANSAKSI_LOG!$F$2:$F$998&gt;=$B31),0),0)),"")</f>
        <v/>
      </c>
      <c r="D31" s="66" t="str">
        <f t="array" ref="D31">IFERROR(INDEX(TRANSAKSI_LOG!$M$2:$M$998,MATCH(1,INDEX((TRANSAKSI_LOG!$C$2:$C$998=$C$5)*(TRANSAKSI_LOG!$J$2:$J$998=D$7)*(TRANSAKSI_LOG!$E$2:$E$998&lt;=$B31)*(TRANSAKSI_LOG!$F$2:$F$998&gt;=$B31),0),0)) &amp; " - " &amp; INDEX(TRANSAKSI_LOG!$H$2:$H$998,MATCH(1,INDEX((TRANSAKSI_LOG!$C$2:$C$998=$C$5)*(TRANSAKSI_LOG!$J$2:$J$998=D$7)*(TRANSAKSI_LOG!$E$2:$E$998&lt;=$B31)*(TRANSAKSI_LOG!$F$2:$F$998&gt;=$B31),0),0)),"")</f>
        <v/>
      </c>
      <c r="E31" s="66" t="str">
        <f t="array" ref="E31">IFERROR(INDEX(TRANSAKSI_LOG!$M$2:$M$998,MATCH(1,INDEX((TRANSAKSI_LOG!$C$2:$C$998=$C$5)*(TRANSAKSI_LOG!$J$2:$J$998=E$7)*(TRANSAKSI_LOG!$E$2:$E$998&lt;=$B31)*(TRANSAKSI_LOG!$F$2:$F$998&gt;=$B31),0),0)) &amp; " - " &amp; INDEX(TRANSAKSI_LOG!$H$2:$H$998,MATCH(1,INDEX((TRANSAKSI_LOG!$C$2:$C$998=$C$5)*(TRANSAKSI_LOG!$J$2:$J$998=E$7)*(TRANSAKSI_LOG!$E$2:$E$998&lt;=$B31)*(TRANSAKSI_LOG!$F$2:$F$998&gt;=$B31),0),0)),"")</f>
        <v/>
      </c>
      <c r="F31" s="66" t="str">
        <f t="array" ref="F31">IFERROR(INDEX(TRANSAKSI_LOG!$M$2:$M$998,MATCH(1,INDEX((TRANSAKSI_LOG!$C$2:$C$998=$C$5)*(TRANSAKSI_LOG!$J$2:$J$998=F$7)*(TRANSAKSI_LOG!$E$2:$E$998&lt;=$B31)*(TRANSAKSI_LOG!$F$2:$F$998&gt;=$B31),0),0)) &amp; " - " &amp; INDEX(TRANSAKSI_LOG!$H$2:$H$998,MATCH(1,INDEX((TRANSAKSI_LOG!$C$2:$C$998=$C$5)*(TRANSAKSI_LOG!$J$2:$J$998=F$7)*(TRANSAKSI_LOG!$E$2:$E$998&lt;=$B31)*(TRANSAKSI_LOG!$F$2:$F$998&gt;=$B31),0),0)),"")</f>
        <v>iuiuiu - Colic Relief Massage Baby (Pijat Kolik)</v>
      </c>
      <c r="G31" s="66" t="str">
        <f t="array" ref="G31">IFERROR(INDEX(TRANSAKSI_LOG!$M$2:$M$998,MATCH(1,INDEX((TRANSAKSI_LOG!$C$2:$C$998=$C$5)*(TRANSAKSI_LOG!$J$2:$J$998=G$7)*(TRANSAKSI_LOG!$E$2:$E$998&lt;=$B31)*(TRANSAKSI_LOG!$F$2:$F$998&gt;=$B31),0),0)) &amp; " - " &amp; INDEX(TRANSAKSI_LOG!$H$2:$H$998,MATCH(1,INDEX((TRANSAKSI_LOG!$C$2:$C$998=$C$5)*(TRANSAKSI_LOG!$J$2:$J$998=G$7)*(TRANSAKSI_LOG!$E$2:$E$998&lt;=$B31)*(TRANSAKSI_LOG!$F$2:$F$998&gt;=$B31),0),0)),"")</f>
        <v/>
      </c>
      <c r="H31" s="66" t="str">
        <f t="array" ref="H31">IFERROR(INDEX(TRANSAKSI_LOG!$M$2:$M$998,MATCH(1,INDEX((TRANSAKSI_LOG!$C$2:$C$998=$C$5)*(TRANSAKSI_LOG!$J$2:$J$998=H$7)*(TRANSAKSI_LOG!$E$2:$E$998&lt;=$B31)*(TRANSAKSI_LOG!$F$2:$F$998&gt;=$B31),0),0)) &amp; " - " &amp; INDEX(TRANSAKSI_LOG!$H$2:$H$998,MATCH(1,INDEX((TRANSAKSI_LOG!$C$2:$C$998=$C$5)*(TRANSAKSI_LOG!$J$2:$J$998=H$7)*(TRANSAKSI_LOG!$E$2:$E$998&lt;=$B31)*(TRANSAKSI_LOG!$F$2:$F$998&gt;=$B31),0),0)),"")</f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13">
        <v>0.4166666666666667</v>
      </c>
      <c r="C32" s="66" t="str">
        <f t="array" ref="C32">IFERROR(INDEX(TRANSAKSI_LOG!$M$2:$M$998,MATCH(1,INDEX((TRANSAKSI_LOG!$C$2:$C$998=$C$5)*(TRANSAKSI_LOG!$J$2:$J$998=C$7)*(TRANSAKSI_LOG!$E$2:$E$998&lt;=$B32)*(TRANSAKSI_LOG!$F$2:$F$998&gt;=$B32),0),0)) &amp; " - " &amp; INDEX(TRANSAKSI_LOG!$H$2:$H$998,MATCH(1,INDEX((TRANSAKSI_LOG!$C$2:$C$998=$C$5)*(TRANSAKSI_LOG!$J$2:$J$998=C$7)*(TRANSAKSI_LOG!$E$2:$E$998&lt;=$B32)*(TRANSAKSI_LOG!$F$2:$F$998&gt;=$B32),0),0)),"")</f>
        <v/>
      </c>
      <c r="D32" s="66" t="str">
        <f t="array" ref="D32">IFERROR(INDEX(TRANSAKSI_LOG!$M$2:$M$998,MATCH(1,INDEX((TRANSAKSI_LOG!$C$2:$C$998=$C$5)*(TRANSAKSI_LOG!$J$2:$J$998=D$7)*(TRANSAKSI_LOG!$E$2:$E$998&lt;=$B32)*(TRANSAKSI_LOG!$F$2:$F$998&gt;=$B32),0),0)) &amp; " - " &amp; INDEX(TRANSAKSI_LOG!$H$2:$H$998,MATCH(1,INDEX((TRANSAKSI_LOG!$C$2:$C$998=$C$5)*(TRANSAKSI_LOG!$J$2:$J$998=D$7)*(TRANSAKSI_LOG!$E$2:$E$998&lt;=$B32)*(TRANSAKSI_LOG!$F$2:$F$998&gt;=$B32),0),0)),"")</f>
        <v/>
      </c>
      <c r="E32" s="66" t="str">
        <f t="array" ref="E32">IFERROR(INDEX(TRANSAKSI_LOG!$M$2:$M$998,MATCH(1,INDEX((TRANSAKSI_LOG!$C$2:$C$998=$C$5)*(TRANSAKSI_LOG!$J$2:$J$998=E$7)*(TRANSAKSI_LOG!$E$2:$E$998&lt;=$B32)*(TRANSAKSI_LOG!$F$2:$F$998&gt;=$B32),0),0)) &amp; " - " &amp; INDEX(TRANSAKSI_LOG!$H$2:$H$998,MATCH(1,INDEX((TRANSAKSI_LOG!$C$2:$C$998=$C$5)*(TRANSAKSI_LOG!$J$2:$J$998=E$7)*(TRANSAKSI_LOG!$E$2:$E$998&lt;=$B32)*(TRANSAKSI_LOG!$F$2:$F$998&gt;=$B32),0),0)),"")</f>
        <v/>
      </c>
      <c r="F32" s="66" t="str">
        <f t="array" ref="F32">IFERROR(INDEX(TRANSAKSI_LOG!$M$2:$M$998,MATCH(1,INDEX((TRANSAKSI_LOG!$C$2:$C$998=$C$5)*(TRANSAKSI_LOG!$J$2:$J$998=F$7)*(TRANSAKSI_LOG!$E$2:$E$998&lt;=$B32)*(TRANSAKSI_LOG!$F$2:$F$998&gt;=$B32),0),0)) &amp; " - " &amp; INDEX(TRANSAKSI_LOG!$H$2:$H$998,MATCH(1,INDEX((TRANSAKSI_LOG!$C$2:$C$998=$C$5)*(TRANSAKSI_LOG!$J$2:$J$998=F$7)*(TRANSAKSI_LOG!$E$2:$E$998&lt;=$B32)*(TRANSAKSI_LOG!$F$2:$F$998&gt;=$B32),0),0)),"")</f>
        <v>iuiuiu - Colic Relief Massage Baby (Pijat Kolik)</v>
      </c>
      <c r="G32" s="66" t="str">
        <f t="array" ref="G32">IFERROR(INDEX(TRANSAKSI_LOG!$M$2:$M$998,MATCH(1,INDEX((TRANSAKSI_LOG!$C$2:$C$998=$C$5)*(TRANSAKSI_LOG!$J$2:$J$998=G$7)*(TRANSAKSI_LOG!$E$2:$E$998&lt;=$B32)*(TRANSAKSI_LOG!$F$2:$F$998&gt;=$B32),0),0)) &amp; " - " &amp; INDEX(TRANSAKSI_LOG!$H$2:$H$998,MATCH(1,INDEX((TRANSAKSI_LOG!$C$2:$C$998=$C$5)*(TRANSAKSI_LOG!$J$2:$J$998=G$7)*(TRANSAKSI_LOG!$E$2:$E$998&lt;=$B32)*(TRANSAKSI_LOG!$F$2:$F$998&gt;=$B32),0),0)),"")</f>
        <v/>
      </c>
      <c r="H32" s="66" t="str">
        <f t="array" ref="H32">IFERROR(INDEX(TRANSAKSI_LOG!$M$2:$M$998,MATCH(1,INDEX((TRANSAKSI_LOG!$C$2:$C$998=$C$5)*(TRANSAKSI_LOG!$J$2:$J$998=H$7)*(TRANSAKSI_LOG!$E$2:$E$998&lt;=$B32)*(TRANSAKSI_LOG!$F$2:$F$998&gt;=$B32),0),0)) &amp; " - " &amp; INDEX(TRANSAKSI_LOG!$H$2:$H$998,MATCH(1,INDEX((TRANSAKSI_LOG!$C$2:$C$998=$C$5)*(TRANSAKSI_LOG!$J$2:$J$998=H$7)*(TRANSAKSI_LOG!$E$2:$E$998&lt;=$B32)*(TRANSAKSI_LOG!$F$2:$F$998&gt;=$B32),0),0)),"")</f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13">
        <v>0.4201388888888889</v>
      </c>
      <c r="C33" s="66" t="str">
        <f t="array" ref="C33">IFERROR(INDEX(TRANSAKSI_LOG!$M$2:$M$998,MATCH(1,INDEX((TRANSAKSI_LOG!$C$2:$C$998=$C$5)*(TRANSAKSI_LOG!$J$2:$J$998=C$7)*(TRANSAKSI_LOG!$E$2:$E$998&lt;=$B33)*(TRANSAKSI_LOG!$F$2:$F$998&gt;=$B33),0),0)) &amp; " - " &amp; INDEX(TRANSAKSI_LOG!$H$2:$H$998,MATCH(1,INDEX((TRANSAKSI_LOG!$C$2:$C$998=$C$5)*(TRANSAKSI_LOG!$J$2:$J$998=C$7)*(TRANSAKSI_LOG!$E$2:$E$998&lt;=$B33)*(TRANSAKSI_LOG!$F$2:$F$998&gt;=$B33),0),0)),"")</f>
        <v/>
      </c>
      <c r="D33" s="66" t="str">
        <f t="array" ref="D33">IFERROR(INDEX(TRANSAKSI_LOG!$M$2:$M$998,MATCH(1,INDEX((TRANSAKSI_LOG!$C$2:$C$998=$C$5)*(TRANSAKSI_LOG!$J$2:$J$998=D$7)*(TRANSAKSI_LOG!$E$2:$E$998&lt;=$B33)*(TRANSAKSI_LOG!$F$2:$F$998&gt;=$B33),0),0)) &amp; " - " &amp; INDEX(TRANSAKSI_LOG!$H$2:$H$998,MATCH(1,INDEX((TRANSAKSI_LOG!$C$2:$C$998=$C$5)*(TRANSAKSI_LOG!$J$2:$J$998=D$7)*(TRANSAKSI_LOG!$E$2:$E$998&lt;=$B33)*(TRANSAKSI_LOG!$F$2:$F$998&gt;=$B33),0),0)),"")</f>
        <v/>
      </c>
      <c r="E33" s="66" t="str">
        <f t="array" ref="E33">IFERROR(INDEX(TRANSAKSI_LOG!$M$2:$M$998,MATCH(1,INDEX((TRANSAKSI_LOG!$C$2:$C$998=$C$5)*(TRANSAKSI_LOG!$J$2:$J$998=E$7)*(TRANSAKSI_LOG!$E$2:$E$998&lt;=$B33)*(TRANSAKSI_LOG!$F$2:$F$998&gt;=$B33),0),0)) &amp; " - " &amp; INDEX(TRANSAKSI_LOG!$H$2:$H$998,MATCH(1,INDEX((TRANSAKSI_LOG!$C$2:$C$998=$C$5)*(TRANSAKSI_LOG!$J$2:$J$998=E$7)*(TRANSAKSI_LOG!$E$2:$E$998&lt;=$B33)*(TRANSAKSI_LOG!$F$2:$F$998&gt;=$B33),0),0)),"")</f>
        <v/>
      </c>
      <c r="F33" s="66" t="str">
        <f t="array" ref="F33">IFERROR(INDEX(TRANSAKSI_LOG!$M$2:$M$998,MATCH(1,INDEX((TRANSAKSI_LOG!$C$2:$C$998=$C$5)*(TRANSAKSI_LOG!$J$2:$J$998=F$7)*(TRANSAKSI_LOG!$E$2:$E$998&lt;=$B33)*(TRANSAKSI_LOG!$F$2:$F$998&gt;=$B33),0),0)) &amp; " - " &amp; INDEX(TRANSAKSI_LOG!$H$2:$H$998,MATCH(1,INDEX((TRANSAKSI_LOG!$C$2:$C$998=$C$5)*(TRANSAKSI_LOG!$J$2:$J$998=F$7)*(TRANSAKSI_LOG!$E$2:$E$998&lt;=$B33)*(TRANSAKSI_LOG!$F$2:$F$998&gt;=$B33),0),0)),"")</f>
        <v/>
      </c>
      <c r="G33" s="66" t="str">
        <f t="array" ref="G33">IFERROR(INDEX(TRANSAKSI_LOG!$M$2:$M$998,MATCH(1,INDEX((TRANSAKSI_LOG!$C$2:$C$998=$C$5)*(TRANSAKSI_LOG!$J$2:$J$998=G$7)*(TRANSAKSI_LOG!$E$2:$E$998&lt;=$B33)*(TRANSAKSI_LOG!$F$2:$F$998&gt;=$B33),0),0)) &amp; " - " &amp; INDEX(TRANSAKSI_LOG!$H$2:$H$998,MATCH(1,INDEX((TRANSAKSI_LOG!$C$2:$C$998=$C$5)*(TRANSAKSI_LOG!$J$2:$J$998=G$7)*(TRANSAKSI_LOG!$E$2:$E$998&lt;=$B33)*(TRANSAKSI_LOG!$F$2:$F$998&gt;=$B33),0),0)),"")</f>
        <v/>
      </c>
      <c r="H33" s="66" t="str">
        <f t="array" ref="H33">IFERROR(INDEX(TRANSAKSI_LOG!$M$2:$M$998,MATCH(1,INDEX((TRANSAKSI_LOG!$C$2:$C$998=$C$5)*(TRANSAKSI_LOG!$J$2:$J$998=H$7)*(TRANSAKSI_LOG!$E$2:$E$998&lt;=$B33)*(TRANSAKSI_LOG!$F$2:$F$998&gt;=$B33),0),0)) &amp; " - " &amp; INDEX(TRANSAKSI_LOG!$H$2:$H$998,MATCH(1,INDEX((TRANSAKSI_LOG!$C$2:$C$998=$C$5)*(TRANSAKSI_LOG!$J$2:$J$998=H$7)*(TRANSAKSI_LOG!$E$2:$E$998&lt;=$B33)*(TRANSAKSI_LOG!$F$2:$F$998&gt;=$B33),0),0)),"")</f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13">
        <v>0.4236111111111111</v>
      </c>
      <c r="C34" s="66" t="str">
        <f t="array" ref="C34">IFERROR(INDEX(TRANSAKSI_LOG!$M$2:$M$998,MATCH(1,INDEX((TRANSAKSI_LOG!$C$2:$C$998=$C$5)*(TRANSAKSI_LOG!$J$2:$J$998=C$7)*(TRANSAKSI_LOG!$E$2:$E$998&lt;=$B34)*(TRANSAKSI_LOG!$F$2:$F$998&gt;=$B34),0),0)) &amp; " - " &amp; INDEX(TRANSAKSI_LOG!$H$2:$H$998,MATCH(1,INDEX((TRANSAKSI_LOG!$C$2:$C$998=$C$5)*(TRANSAKSI_LOG!$J$2:$J$998=C$7)*(TRANSAKSI_LOG!$E$2:$E$998&lt;=$B34)*(TRANSAKSI_LOG!$F$2:$F$998&gt;=$B34),0),0)),"")</f>
        <v/>
      </c>
      <c r="D34" s="66" t="str">
        <f t="array" ref="D34">IFERROR(INDEX(TRANSAKSI_LOG!$M$2:$M$998,MATCH(1,INDEX((TRANSAKSI_LOG!$C$2:$C$998=$C$5)*(TRANSAKSI_LOG!$J$2:$J$998=D$7)*(TRANSAKSI_LOG!$E$2:$E$998&lt;=$B34)*(TRANSAKSI_LOG!$F$2:$F$998&gt;=$B34),0),0)) &amp; " - " &amp; INDEX(TRANSAKSI_LOG!$H$2:$H$998,MATCH(1,INDEX((TRANSAKSI_LOG!$C$2:$C$998=$C$5)*(TRANSAKSI_LOG!$J$2:$J$998=D$7)*(TRANSAKSI_LOG!$E$2:$E$998&lt;=$B34)*(TRANSAKSI_LOG!$F$2:$F$998&gt;=$B34),0),0)),"")</f>
        <v/>
      </c>
      <c r="E34" s="66" t="str">
        <f t="array" ref="E34">IFERROR(INDEX(TRANSAKSI_LOG!$M$2:$M$998,MATCH(1,INDEX((TRANSAKSI_LOG!$C$2:$C$998=$C$5)*(TRANSAKSI_LOG!$J$2:$J$998=E$7)*(TRANSAKSI_LOG!$E$2:$E$998&lt;=$B34)*(TRANSAKSI_LOG!$F$2:$F$998&gt;=$B34),0),0)) &amp; " - " &amp; INDEX(TRANSAKSI_LOG!$H$2:$H$998,MATCH(1,INDEX((TRANSAKSI_LOG!$C$2:$C$998=$C$5)*(TRANSAKSI_LOG!$J$2:$J$998=E$7)*(TRANSAKSI_LOG!$E$2:$E$998&lt;=$B34)*(TRANSAKSI_LOG!$F$2:$F$998&gt;=$B34),0),0)),"")</f>
        <v/>
      </c>
      <c r="F34" s="66" t="str">
        <f t="array" ref="F34">IFERROR(INDEX(TRANSAKSI_LOG!$M$2:$M$998,MATCH(1,INDEX((TRANSAKSI_LOG!$C$2:$C$998=$C$5)*(TRANSAKSI_LOG!$J$2:$J$998=F$7)*(TRANSAKSI_LOG!$E$2:$E$998&lt;=$B34)*(TRANSAKSI_LOG!$F$2:$F$998&gt;=$B34),0),0)) &amp; " - " &amp; INDEX(TRANSAKSI_LOG!$H$2:$H$998,MATCH(1,INDEX((TRANSAKSI_LOG!$C$2:$C$998=$C$5)*(TRANSAKSI_LOG!$J$2:$J$998=F$7)*(TRANSAKSI_LOG!$E$2:$E$998&lt;=$B34)*(TRANSAKSI_LOG!$F$2:$F$998&gt;=$B34),0),0)),"")</f>
        <v/>
      </c>
      <c r="G34" s="66" t="str">
        <f t="array" ref="G34">IFERROR(INDEX(TRANSAKSI_LOG!$M$2:$M$998,MATCH(1,INDEX((TRANSAKSI_LOG!$C$2:$C$998=$C$5)*(TRANSAKSI_LOG!$J$2:$J$998=G$7)*(TRANSAKSI_LOG!$E$2:$E$998&lt;=$B34)*(TRANSAKSI_LOG!$F$2:$F$998&gt;=$B34),0),0)) &amp; " - " &amp; INDEX(TRANSAKSI_LOG!$H$2:$H$998,MATCH(1,INDEX((TRANSAKSI_LOG!$C$2:$C$998=$C$5)*(TRANSAKSI_LOG!$J$2:$J$998=G$7)*(TRANSAKSI_LOG!$E$2:$E$998&lt;=$B34)*(TRANSAKSI_LOG!$F$2:$F$998&gt;=$B34),0),0)),"")</f>
        <v/>
      </c>
      <c r="H34" s="66" t="str">
        <f t="array" ref="H34">IFERROR(INDEX(TRANSAKSI_LOG!$M$2:$M$998,MATCH(1,INDEX((TRANSAKSI_LOG!$C$2:$C$998=$C$5)*(TRANSAKSI_LOG!$J$2:$J$998=H$7)*(TRANSAKSI_LOG!$E$2:$E$998&lt;=$B34)*(TRANSAKSI_LOG!$F$2:$F$998&gt;=$B34),0),0)) &amp; " - " &amp; INDEX(TRANSAKSI_LOG!$H$2:$H$998,MATCH(1,INDEX((TRANSAKSI_LOG!$C$2:$C$998=$C$5)*(TRANSAKSI_LOG!$J$2:$J$998=H$7)*(TRANSAKSI_LOG!$E$2:$E$998&lt;=$B34)*(TRANSAKSI_LOG!$F$2:$F$998&gt;=$B34),0),0)),"")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13">
        <v>0.4270833333333333</v>
      </c>
      <c r="C35" s="66" t="str">
        <f t="array" ref="C35">IFERROR(INDEX(TRANSAKSI_LOG!$M$2:$M$998,MATCH(1,INDEX((TRANSAKSI_LOG!$C$2:$C$998=$C$5)*(TRANSAKSI_LOG!$J$2:$J$998=C$7)*(TRANSAKSI_LOG!$E$2:$E$998&lt;=$B35)*(TRANSAKSI_LOG!$F$2:$F$998&gt;=$B35),0),0)) &amp; " - " &amp; INDEX(TRANSAKSI_LOG!$H$2:$H$998,MATCH(1,INDEX((TRANSAKSI_LOG!$C$2:$C$998=$C$5)*(TRANSAKSI_LOG!$J$2:$J$998=C$7)*(TRANSAKSI_LOG!$E$2:$E$998&lt;=$B35)*(TRANSAKSI_LOG!$F$2:$F$998&gt;=$B35),0),0)),"")</f>
        <v/>
      </c>
      <c r="D35" s="66" t="str">
        <f t="array" ref="D35">IFERROR(INDEX(TRANSAKSI_LOG!$M$2:$M$998,MATCH(1,INDEX((TRANSAKSI_LOG!$C$2:$C$998=$C$5)*(TRANSAKSI_LOG!$J$2:$J$998=D$7)*(TRANSAKSI_LOG!$E$2:$E$998&lt;=$B35)*(TRANSAKSI_LOG!$F$2:$F$998&gt;=$B35),0),0)) &amp; " - " &amp; INDEX(TRANSAKSI_LOG!$H$2:$H$998,MATCH(1,INDEX((TRANSAKSI_LOG!$C$2:$C$998=$C$5)*(TRANSAKSI_LOG!$J$2:$J$998=D$7)*(TRANSAKSI_LOG!$E$2:$E$998&lt;=$B35)*(TRANSAKSI_LOG!$F$2:$F$998&gt;=$B35),0),0)),"")</f>
        <v/>
      </c>
      <c r="E35" s="66" t="str">
        <f t="array" ref="E35">IFERROR(INDEX(TRANSAKSI_LOG!$M$2:$M$998,MATCH(1,INDEX((TRANSAKSI_LOG!$C$2:$C$998=$C$5)*(TRANSAKSI_LOG!$J$2:$J$998=E$7)*(TRANSAKSI_LOG!$E$2:$E$998&lt;=$B35)*(TRANSAKSI_LOG!$F$2:$F$998&gt;=$B35),0),0)) &amp; " - " &amp; INDEX(TRANSAKSI_LOG!$H$2:$H$998,MATCH(1,INDEX((TRANSAKSI_LOG!$C$2:$C$998=$C$5)*(TRANSAKSI_LOG!$J$2:$J$998=E$7)*(TRANSAKSI_LOG!$E$2:$E$998&lt;=$B35)*(TRANSAKSI_LOG!$F$2:$F$998&gt;=$B35),0),0)),"")</f>
        <v/>
      </c>
      <c r="F35" s="66" t="str">
        <f t="array" ref="F35">IFERROR(INDEX(TRANSAKSI_LOG!$M$2:$M$998,MATCH(1,INDEX((TRANSAKSI_LOG!$C$2:$C$998=$C$5)*(TRANSAKSI_LOG!$J$2:$J$998=F$7)*(TRANSAKSI_LOG!$E$2:$E$998&lt;=$B35)*(TRANSAKSI_LOG!$F$2:$F$998&gt;=$B35),0),0)) &amp; " - " &amp; INDEX(TRANSAKSI_LOG!$H$2:$H$998,MATCH(1,INDEX((TRANSAKSI_LOG!$C$2:$C$998=$C$5)*(TRANSAKSI_LOG!$J$2:$J$998=F$7)*(TRANSAKSI_LOG!$E$2:$E$998&lt;=$B35)*(TRANSAKSI_LOG!$F$2:$F$998&gt;=$B35),0),0)),"")</f>
        <v/>
      </c>
      <c r="G35" s="66" t="str">
        <f t="array" ref="G35">IFERROR(INDEX(TRANSAKSI_LOG!$M$2:$M$998,MATCH(1,INDEX((TRANSAKSI_LOG!$C$2:$C$998=$C$5)*(TRANSAKSI_LOG!$J$2:$J$998=G$7)*(TRANSAKSI_LOG!$E$2:$E$998&lt;=$B35)*(TRANSAKSI_LOG!$F$2:$F$998&gt;=$B35),0),0)) &amp; " - " &amp; INDEX(TRANSAKSI_LOG!$H$2:$H$998,MATCH(1,INDEX((TRANSAKSI_LOG!$C$2:$C$998=$C$5)*(TRANSAKSI_LOG!$J$2:$J$998=G$7)*(TRANSAKSI_LOG!$E$2:$E$998&lt;=$B35)*(TRANSAKSI_LOG!$F$2:$F$998&gt;=$B35),0),0)),"")</f>
        <v/>
      </c>
      <c r="H35" s="66" t="str">
        <f t="array" ref="H35">IFERROR(INDEX(TRANSAKSI_LOG!$M$2:$M$998,MATCH(1,INDEX((TRANSAKSI_LOG!$C$2:$C$998=$C$5)*(TRANSAKSI_LOG!$J$2:$J$998=H$7)*(TRANSAKSI_LOG!$E$2:$E$998&lt;=$B35)*(TRANSAKSI_LOG!$F$2:$F$998&gt;=$B35),0),0)) &amp; " - " &amp; INDEX(TRANSAKSI_LOG!$H$2:$H$998,MATCH(1,INDEX((TRANSAKSI_LOG!$C$2:$C$998=$C$5)*(TRANSAKSI_LOG!$J$2:$J$998=H$7)*(TRANSAKSI_LOG!$E$2:$E$998&lt;=$B35)*(TRANSAKSI_LOG!$F$2:$F$998&gt;=$B35),0),0)),"")</f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13">
        <v>0.4305555555555556</v>
      </c>
      <c r="C36" s="66" t="str">
        <f t="array" ref="C36">IFERROR(INDEX(TRANSAKSI_LOG!$M$2:$M$998,MATCH(1,INDEX((TRANSAKSI_LOG!$C$2:$C$998=$C$5)*(TRANSAKSI_LOG!$J$2:$J$998=C$7)*(TRANSAKSI_LOG!$E$2:$E$998&lt;=$B36)*(TRANSAKSI_LOG!$F$2:$F$998&gt;=$B36),0),0)) &amp; " - " &amp; INDEX(TRANSAKSI_LOG!$H$2:$H$998,MATCH(1,INDEX((TRANSAKSI_LOG!$C$2:$C$998=$C$5)*(TRANSAKSI_LOG!$J$2:$J$998=C$7)*(TRANSAKSI_LOG!$E$2:$E$998&lt;=$B36)*(TRANSAKSI_LOG!$F$2:$F$998&gt;=$B36),0),0)),"")</f>
        <v/>
      </c>
      <c r="D36" s="66" t="str">
        <f t="array" ref="D36">IFERROR(INDEX(TRANSAKSI_LOG!$M$2:$M$998,MATCH(1,INDEX((TRANSAKSI_LOG!$C$2:$C$998=$C$5)*(TRANSAKSI_LOG!$J$2:$J$998=D$7)*(TRANSAKSI_LOG!$E$2:$E$998&lt;=$B36)*(TRANSAKSI_LOG!$F$2:$F$998&gt;=$B36),0),0)) &amp; " - " &amp; INDEX(TRANSAKSI_LOG!$H$2:$H$998,MATCH(1,INDEX((TRANSAKSI_LOG!$C$2:$C$998=$C$5)*(TRANSAKSI_LOG!$J$2:$J$998=D$7)*(TRANSAKSI_LOG!$E$2:$E$998&lt;=$B36)*(TRANSAKSI_LOG!$F$2:$F$998&gt;=$B36),0),0)),"")</f>
        <v/>
      </c>
      <c r="E36" s="66" t="str">
        <f t="array" ref="E36">IFERROR(INDEX(TRANSAKSI_LOG!$M$2:$M$998,MATCH(1,INDEX((TRANSAKSI_LOG!$C$2:$C$998=$C$5)*(TRANSAKSI_LOG!$J$2:$J$998=E$7)*(TRANSAKSI_LOG!$E$2:$E$998&lt;=$B36)*(TRANSAKSI_LOG!$F$2:$F$998&gt;=$B36),0),0)) &amp; " - " &amp; INDEX(TRANSAKSI_LOG!$H$2:$H$998,MATCH(1,INDEX((TRANSAKSI_LOG!$C$2:$C$998=$C$5)*(TRANSAKSI_LOG!$J$2:$J$998=E$7)*(TRANSAKSI_LOG!$E$2:$E$998&lt;=$B36)*(TRANSAKSI_LOG!$F$2:$F$998&gt;=$B36),0),0)),"")</f>
        <v/>
      </c>
      <c r="F36" s="66" t="str">
        <f t="array" ref="F36">IFERROR(INDEX(TRANSAKSI_LOG!$M$2:$M$998,MATCH(1,INDEX((TRANSAKSI_LOG!$C$2:$C$998=$C$5)*(TRANSAKSI_LOG!$J$2:$J$998=F$7)*(TRANSAKSI_LOG!$E$2:$E$998&lt;=$B36)*(TRANSAKSI_LOG!$F$2:$F$998&gt;=$B36),0),0)) &amp; " - " &amp; INDEX(TRANSAKSI_LOG!$H$2:$H$998,MATCH(1,INDEX((TRANSAKSI_LOG!$C$2:$C$998=$C$5)*(TRANSAKSI_LOG!$J$2:$J$998=F$7)*(TRANSAKSI_LOG!$E$2:$E$998&lt;=$B36)*(TRANSAKSI_LOG!$F$2:$F$998&gt;=$B36),0),0)),"")</f>
        <v/>
      </c>
      <c r="G36" s="66" t="str">
        <f t="array" ref="G36">IFERROR(INDEX(TRANSAKSI_LOG!$M$2:$M$998,MATCH(1,INDEX((TRANSAKSI_LOG!$C$2:$C$998=$C$5)*(TRANSAKSI_LOG!$J$2:$J$998=G$7)*(TRANSAKSI_LOG!$E$2:$E$998&lt;=$B36)*(TRANSAKSI_LOG!$F$2:$F$998&gt;=$B36),0),0)) &amp; " - " &amp; INDEX(TRANSAKSI_LOG!$H$2:$H$998,MATCH(1,INDEX((TRANSAKSI_LOG!$C$2:$C$998=$C$5)*(TRANSAKSI_LOG!$J$2:$J$998=G$7)*(TRANSAKSI_LOG!$E$2:$E$998&lt;=$B36)*(TRANSAKSI_LOG!$F$2:$F$998&gt;=$B36),0),0)),"")</f>
        <v/>
      </c>
      <c r="H36" s="66" t="str">
        <f t="array" ref="H36">IFERROR(INDEX(TRANSAKSI_LOG!$M$2:$M$998,MATCH(1,INDEX((TRANSAKSI_LOG!$C$2:$C$998=$C$5)*(TRANSAKSI_LOG!$J$2:$J$998=H$7)*(TRANSAKSI_LOG!$E$2:$E$998&lt;=$B36)*(TRANSAKSI_LOG!$F$2:$F$998&gt;=$B36),0),0)) &amp; " - " &amp; INDEX(TRANSAKSI_LOG!$H$2:$H$998,MATCH(1,INDEX((TRANSAKSI_LOG!$C$2:$C$998=$C$5)*(TRANSAKSI_LOG!$J$2:$J$998=H$7)*(TRANSAKSI_LOG!$E$2:$E$998&lt;=$B36)*(TRANSAKSI_LOG!$F$2:$F$998&gt;=$B36),0),0)),"")</f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13">
        <v>0.4340277777777778</v>
      </c>
      <c r="C37" s="66" t="str">
        <f t="array" ref="C37">IFERROR(INDEX(TRANSAKSI_LOG!$M$2:$M$998,MATCH(1,INDEX((TRANSAKSI_LOG!$C$2:$C$998=$C$5)*(TRANSAKSI_LOG!$J$2:$J$998=C$7)*(TRANSAKSI_LOG!$E$2:$E$998&lt;=$B37)*(TRANSAKSI_LOG!$F$2:$F$998&gt;=$B37),0),0)) &amp; " - " &amp; INDEX(TRANSAKSI_LOG!$H$2:$H$998,MATCH(1,INDEX((TRANSAKSI_LOG!$C$2:$C$998=$C$5)*(TRANSAKSI_LOG!$J$2:$J$998=C$7)*(TRANSAKSI_LOG!$E$2:$E$998&lt;=$B37)*(TRANSAKSI_LOG!$F$2:$F$998&gt;=$B37),0),0)),"")</f>
        <v/>
      </c>
      <c r="D37" s="66" t="str">
        <f t="array" ref="D37">IFERROR(INDEX(TRANSAKSI_LOG!$M$2:$M$998,MATCH(1,INDEX((TRANSAKSI_LOG!$C$2:$C$998=$C$5)*(TRANSAKSI_LOG!$J$2:$J$998=D$7)*(TRANSAKSI_LOG!$E$2:$E$998&lt;=$B37)*(TRANSAKSI_LOG!$F$2:$F$998&gt;=$B37),0),0)) &amp; " - " &amp; INDEX(TRANSAKSI_LOG!$H$2:$H$998,MATCH(1,INDEX((TRANSAKSI_LOG!$C$2:$C$998=$C$5)*(TRANSAKSI_LOG!$J$2:$J$998=D$7)*(TRANSAKSI_LOG!$E$2:$E$998&lt;=$B37)*(TRANSAKSI_LOG!$F$2:$F$998&gt;=$B37),0),0)),"")</f>
        <v/>
      </c>
      <c r="E37" s="66" t="str">
        <f t="array" ref="E37">IFERROR(INDEX(TRANSAKSI_LOG!$M$2:$M$998,MATCH(1,INDEX((TRANSAKSI_LOG!$C$2:$C$998=$C$5)*(TRANSAKSI_LOG!$J$2:$J$998=E$7)*(TRANSAKSI_LOG!$E$2:$E$998&lt;=$B37)*(TRANSAKSI_LOG!$F$2:$F$998&gt;=$B37),0),0)) &amp; " - " &amp; INDEX(TRANSAKSI_LOG!$H$2:$H$998,MATCH(1,INDEX((TRANSAKSI_LOG!$C$2:$C$998=$C$5)*(TRANSAKSI_LOG!$J$2:$J$998=E$7)*(TRANSAKSI_LOG!$E$2:$E$998&lt;=$B37)*(TRANSAKSI_LOG!$F$2:$F$998&gt;=$B37),0),0)),"")</f>
        <v/>
      </c>
      <c r="F37" s="66" t="str">
        <f t="array" ref="F37">IFERROR(INDEX(TRANSAKSI_LOG!$M$2:$M$998,MATCH(1,INDEX((TRANSAKSI_LOG!$C$2:$C$998=$C$5)*(TRANSAKSI_LOG!$J$2:$J$998=F$7)*(TRANSAKSI_LOG!$E$2:$E$998&lt;=$B37)*(TRANSAKSI_LOG!$F$2:$F$998&gt;=$B37),0),0)) &amp; " - " &amp; INDEX(TRANSAKSI_LOG!$H$2:$H$998,MATCH(1,INDEX((TRANSAKSI_LOG!$C$2:$C$998=$C$5)*(TRANSAKSI_LOG!$J$2:$J$998=F$7)*(TRANSAKSI_LOG!$E$2:$E$998&lt;=$B37)*(TRANSAKSI_LOG!$F$2:$F$998&gt;=$B37),0),0)),"")</f>
        <v/>
      </c>
      <c r="G37" s="66" t="str">
        <f t="array" ref="G37">IFERROR(INDEX(TRANSAKSI_LOG!$M$2:$M$998,MATCH(1,INDEX((TRANSAKSI_LOG!$C$2:$C$998=$C$5)*(TRANSAKSI_LOG!$J$2:$J$998=G$7)*(TRANSAKSI_LOG!$E$2:$E$998&lt;=$B37)*(TRANSAKSI_LOG!$F$2:$F$998&gt;=$B37),0),0)) &amp; " - " &amp; INDEX(TRANSAKSI_LOG!$H$2:$H$998,MATCH(1,INDEX((TRANSAKSI_LOG!$C$2:$C$998=$C$5)*(TRANSAKSI_LOG!$J$2:$J$998=G$7)*(TRANSAKSI_LOG!$E$2:$E$998&lt;=$B37)*(TRANSAKSI_LOG!$F$2:$F$998&gt;=$B37),0),0)),"")</f>
        <v/>
      </c>
      <c r="H37" s="66" t="str">
        <f t="array" ref="H37">IFERROR(INDEX(TRANSAKSI_LOG!$M$2:$M$998,MATCH(1,INDEX((TRANSAKSI_LOG!$C$2:$C$998=$C$5)*(TRANSAKSI_LOG!$J$2:$J$998=H$7)*(TRANSAKSI_LOG!$E$2:$E$998&lt;=$B37)*(TRANSAKSI_LOG!$F$2:$F$998&gt;=$B37),0),0)) &amp; " - " &amp; INDEX(TRANSAKSI_LOG!$H$2:$H$998,MATCH(1,INDEX((TRANSAKSI_LOG!$C$2:$C$998=$C$5)*(TRANSAKSI_LOG!$J$2:$J$998=H$7)*(TRANSAKSI_LOG!$E$2:$E$998&lt;=$B37)*(TRANSAKSI_LOG!$F$2:$F$998&gt;=$B37),0),0)),"")</f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13">
        <v>0.4375</v>
      </c>
      <c r="C38" s="66" t="str">
        <f t="array" ref="C38">IFERROR(INDEX(TRANSAKSI_LOG!$M$2:$M$998,MATCH(1,INDEX((TRANSAKSI_LOG!$C$2:$C$998=$C$5)*(TRANSAKSI_LOG!$J$2:$J$998=C$7)*(TRANSAKSI_LOG!$E$2:$E$998&lt;=$B38)*(TRANSAKSI_LOG!$F$2:$F$998&gt;=$B38),0),0)) &amp; " - " &amp; INDEX(TRANSAKSI_LOG!$H$2:$H$998,MATCH(1,INDEX((TRANSAKSI_LOG!$C$2:$C$998=$C$5)*(TRANSAKSI_LOG!$J$2:$J$998=C$7)*(TRANSAKSI_LOG!$E$2:$E$998&lt;=$B38)*(TRANSAKSI_LOG!$F$2:$F$998&gt;=$B38),0),0)),"")</f>
        <v/>
      </c>
      <c r="D38" s="66" t="str">
        <f t="array" ref="D38">IFERROR(INDEX(TRANSAKSI_LOG!$M$2:$M$998,MATCH(1,INDEX((TRANSAKSI_LOG!$C$2:$C$998=$C$5)*(TRANSAKSI_LOG!$J$2:$J$998=D$7)*(TRANSAKSI_LOG!$E$2:$E$998&lt;=$B38)*(TRANSAKSI_LOG!$F$2:$F$998&gt;=$B38),0),0)) &amp; " - " &amp; INDEX(TRANSAKSI_LOG!$H$2:$H$998,MATCH(1,INDEX((TRANSAKSI_LOG!$C$2:$C$998=$C$5)*(TRANSAKSI_LOG!$J$2:$J$998=D$7)*(TRANSAKSI_LOG!$E$2:$E$998&lt;=$B38)*(TRANSAKSI_LOG!$F$2:$F$998&gt;=$B38),0),0)),"")</f>
        <v/>
      </c>
      <c r="E38" s="66" t="str">
        <f t="array" ref="E38">IFERROR(INDEX(TRANSAKSI_LOG!$M$2:$M$998,MATCH(1,INDEX((TRANSAKSI_LOG!$C$2:$C$998=$C$5)*(TRANSAKSI_LOG!$J$2:$J$998=E$7)*(TRANSAKSI_LOG!$E$2:$E$998&lt;=$B38)*(TRANSAKSI_LOG!$F$2:$F$998&gt;=$B38),0),0)) &amp; " - " &amp; INDEX(TRANSAKSI_LOG!$H$2:$H$998,MATCH(1,INDEX((TRANSAKSI_LOG!$C$2:$C$998=$C$5)*(TRANSAKSI_LOG!$J$2:$J$998=E$7)*(TRANSAKSI_LOG!$E$2:$E$998&lt;=$B38)*(TRANSAKSI_LOG!$F$2:$F$998&gt;=$B38),0),0)),"")</f>
        <v/>
      </c>
      <c r="F38" s="66" t="str">
        <f t="array" ref="F38">IFERROR(INDEX(TRANSAKSI_LOG!$M$2:$M$998,MATCH(1,INDEX((TRANSAKSI_LOG!$C$2:$C$998=$C$5)*(TRANSAKSI_LOG!$J$2:$J$998=F$7)*(TRANSAKSI_LOG!$E$2:$E$998&lt;=$B38)*(TRANSAKSI_LOG!$F$2:$F$998&gt;=$B38),0),0)) &amp; " - " &amp; INDEX(TRANSAKSI_LOG!$H$2:$H$998,MATCH(1,INDEX((TRANSAKSI_LOG!$C$2:$C$998=$C$5)*(TRANSAKSI_LOG!$J$2:$J$998=F$7)*(TRANSAKSI_LOG!$E$2:$E$998&lt;=$B38)*(TRANSAKSI_LOG!$F$2:$F$998&gt;=$B38),0),0)),"")</f>
        <v/>
      </c>
      <c r="G38" s="66" t="str">
        <f t="array" ref="G38">IFERROR(INDEX(TRANSAKSI_LOG!$M$2:$M$998,MATCH(1,INDEX((TRANSAKSI_LOG!$C$2:$C$998=$C$5)*(TRANSAKSI_LOG!$J$2:$J$998=G$7)*(TRANSAKSI_LOG!$E$2:$E$998&lt;=$B38)*(TRANSAKSI_LOG!$F$2:$F$998&gt;=$B38),0),0)) &amp; " - " &amp; INDEX(TRANSAKSI_LOG!$H$2:$H$998,MATCH(1,INDEX((TRANSAKSI_LOG!$C$2:$C$998=$C$5)*(TRANSAKSI_LOG!$J$2:$J$998=G$7)*(TRANSAKSI_LOG!$E$2:$E$998&lt;=$B38)*(TRANSAKSI_LOG!$F$2:$F$998&gt;=$B38),0),0)),"")</f>
        <v/>
      </c>
      <c r="H38" s="66" t="str">
        <f t="array" ref="H38">IFERROR(INDEX(TRANSAKSI_LOG!$M$2:$M$998,MATCH(1,INDEX((TRANSAKSI_LOG!$C$2:$C$998=$C$5)*(TRANSAKSI_LOG!$J$2:$J$998=H$7)*(TRANSAKSI_LOG!$E$2:$E$998&lt;=$B38)*(TRANSAKSI_LOG!$F$2:$F$998&gt;=$B38),0),0)) &amp; " - " &amp; INDEX(TRANSAKSI_LOG!$H$2:$H$998,MATCH(1,INDEX((TRANSAKSI_LOG!$C$2:$C$998=$C$5)*(TRANSAKSI_LOG!$J$2:$J$998=H$7)*(TRANSAKSI_LOG!$E$2:$E$998&lt;=$B38)*(TRANSAKSI_LOG!$F$2:$F$998&gt;=$B38),0),0)),"")</f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13">
        <v>0.4409722222222222</v>
      </c>
      <c r="C39" s="66" t="str">
        <f t="array" ref="C39">IFERROR(INDEX(TRANSAKSI_LOG!$M$2:$M$998,MATCH(1,INDEX((TRANSAKSI_LOG!$C$2:$C$998=$C$5)*(TRANSAKSI_LOG!$J$2:$J$998=C$7)*(TRANSAKSI_LOG!$E$2:$E$998&lt;=$B39)*(TRANSAKSI_LOG!$F$2:$F$998&gt;=$B39),0),0)) &amp; " - " &amp; INDEX(TRANSAKSI_LOG!$H$2:$H$998,MATCH(1,INDEX((TRANSAKSI_LOG!$C$2:$C$998=$C$5)*(TRANSAKSI_LOG!$J$2:$J$998=C$7)*(TRANSAKSI_LOG!$E$2:$E$998&lt;=$B39)*(TRANSAKSI_LOG!$F$2:$F$998&gt;=$B39),0),0)),"")</f>
        <v/>
      </c>
      <c r="D39" s="66" t="str">
        <f t="array" ref="D39">IFERROR(INDEX(TRANSAKSI_LOG!$M$2:$M$998,MATCH(1,INDEX((TRANSAKSI_LOG!$C$2:$C$998=$C$5)*(TRANSAKSI_LOG!$J$2:$J$998=D$7)*(TRANSAKSI_LOG!$E$2:$E$998&lt;=$B39)*(TRANSAKSI_LOG!$F$2:$F$998&gt;=$B39),0),0)) &amp; " - " &amp; INDEX(TRANSAKSI_LOG!$H$2:$H$998,MATCH(1,INDEX((TRANSAKSI_LOG!$C$2:$C$998=$C$5)*(TRANSAKSI_LOG!$J$2:$J$998=D$7)*(TRANSAKSI_LOG!$E$2:$E$998&lt;=$B39)*(TRANSAKSI_LOG!$F$2:$F$998&gt;=$B39),0),0)),"")</f>
        <v/>
      </c>
      <c r="E39" s="66" t="str">
        <f t="array" ref="E39">IFERROR(INDEX(TRANSAKSI_LOG!$M$2:$M$998,MATCH(1,INDEX((TRANSAKSI_LOG!$C$2:$C$998=$C$5)*(TRANSAKSI_LOG!$J$2:$J$998=E$7)*(TRANSAKSI_LOG!$E$2:$E$998&lt;=$B39)*(TRANSAKSI_LOG!$F$2:$F$998&gt;=$B39),0),0)) &amp; " - " &amp; INDEX(TRANSAKSI_LOG!$H$2:$H$998,MATCH(1,INDEX((TRANSAKSI_LOG!$C$2:$C$998=$C$5)*(TRANSAKSI_LOG!$J$2:$J$998=E$7)*(TRANSAKSI_LOG!$E$2:$E$998&lt;=$B39)*(TRANSAKSI_LOG!$F$2:$F$998&gt;=$B39),0),0)),"")</f>
        <v/>
      </c>
      <c r="F39" s="66" t="str">
        <f t="array" ref="F39">IFERROR(INDEX(TRANSAKSI_LOG!$M$2:$M$998,MATCH(1,INDEX((TRANSAKSI_LOG!$C$2:$C$998=$C$5)*(TRANSAKSI_LOG!$J$2:$J$998=F$7)*(TRANSAKSI_LOG!$E$2:$E$998&lt;=$B39)*(TRANSAKSI_LOG!$F$2:$F$998&gt;=$B39),0),0)) &amp; " - " &amp; INDEX(TRANSAKSI_LOG!$H$2:$H$998,MATCH(1,INDEX((TRANSAKSI_LOG!$C$2:$C$998=$C$5)*(TRANSAKSI_LOG!$J$2:$J$998=F$7)*(TRANSAKSI_LOG!$E$2:$E$998&lt;=$B39)*(TRANSAKSI_LOG!$F$2:$F$998&gt;=$B39),0),0)),"")</f>
        <v/>
      </c>
      <c r="G39" s="66" t="str">
        <f t="array" ref="G39">IFERROR(INDEX(TRANSAKSI_LOG!$M$2:$M$998,MATCH(1,INDEX((TRANSAKSI_LOG!$C$2:$C$998=$C$5)*(TRANSAKSI_LOG!$J$2:$J$998=G$7)*(TRANSAKSI_LOG!$E$2:$E$998&lt;=$B39)*(TRANSAKSI_LOG!$F$2:$F$998&gt;=$B39),0),0)) &amp; " - " &amp; INDEX(TRANSAKSI_LOG!$H$2:$H$998,MATCH(1,INDEX((TRANSAKSI_LOG!$C$2:$C$998=$C$5)*(TRANSAKSI_LOG!$J$2:$J$998=G$7)*(TRANSAKSI_LOG!$E$2:$E$998&lt;=$B39)*(TRANSAKSI_LOG!$F$2:$F$998&gt;=$B39),0),0)),"")</f>
        <v/>
      </c>
      <c r="H39" s="66" t="str">
        <f t="array" ref="H39">IFERROR(INDEX(TRANSAKSI_LOG!$M$2:$M$998,MATCH(1,INDEX((TRANSAKSI_LOG!$C$2:$C$998=$C$5)*(TRANSAKSI_LOG!$J$2:$J$998=H$7)*(TRANSAKSI_LOG!$E$2:$E$998&lt;=$B39)*(TRANSAKSI_LOG!$F$2:$F$998&gt;=$B39),0),0)) &amp; " - " &amp; INDEX(TRANSAKSI_LOG!$H$2:$H$998,MATCH(1,INDEX((TRANSAKSI_LOG!$C$2:$C$998=$C$5)*(TRANSAKSI_LOG!$J$2:$J$998=H$7)*(TRANSAKSI_LOG!$E$2:$E$998&lt;=$B39)*(TRANSAKSI_LOG!$F$2:$F$998&gt;=$B39),0),0)),"")</f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13">
        <v>0.4444444444444444</v>
      </c>
      <c r="C40" s="66" t="str">
        <f t="array" ref="C40">IFERROR(INDEX(TRANSAKSI_LOG!$M$2:$M$998,MATCH(1,INDEX((TRANSAKSI_LOG!$C$2:$C$998=$C$5)*(TRANSAKSI_LOG!$J$2:$J$998=C$7)*(TRANSAKSI_LOG!$E$2:$E$998&lt;=$B40)*(TRANSAKSI_LOG!$F$2:$F$998&gt;=$B40),0),0)) &amp; " - " &amp; INDEX(TRANSAKSI_LOG!$H$2:$H$998,MATCH(1,INDEX((TRANSAKSI_LOG!$C$2:$C$998=$C$5)*(TRANSAKSI_LOG!$J$2:$J$998=C$7)*(TRANSAKSI_LOG!$E$2:$E$998&lt;=$B40)*(TRANSAKSI_LOG!$F$2:$F$998&gt;=$B40),0),0)),"")</f>
        <v/>
      </c>
      <c r="D40" s="66" t="str">
        <f t="array" ref="D40">IFERROR(INDEX(TRANSAKSI_LOG!$M$2:$M$998,MATCH(1,INDEX((TRANSAKSI_LOG!$C$2:$C$998=$C$5)*(TRANSAKSI_LOG!$J$2:$J$998=D$7)*(TRANSAKSI_LOG!$E$2:$E$998&lt;=$B40)*(TRANSAKSI_LOG!$F$2:$F$998&gt;=$B40),0),0)) &amp; " - " &amp; INDEX(TRANSAKSI_LOG!$H$2:$H$998,MATCH(1,INDEX((TRANSAKSI_LOG!$C$2:$C$998=$C$5)*(TRANSAKSI_LOG!$J$2:$J$998=D$7)*(TRANSAKSI_LOG!$E$2:$E$998&lt;=$B40)*(TRANSAKSI_LOG!$F$2:$F$998&gt;=$B40),0),0)),"")</f>
        <v/>
      </c>
      <c r="E40" s="66" t="str">
        <f t="array" ref="E40">IFERROR(INDEX(TRANSAKSI_LOG!$M$2:$M$998,MATCH(1,INDEX((TRANSAKSI_LOG!$C$2:$C$998=$C$5)*(TRANSAKSI_LOG!$J$2:$J$998=E$7)*(TRANSAKSI_LOG!$E$2:$E$998&lt;=$B40)*(TRANSAKSI_LOG!$F$2:$F$998&gt;=$B40),0),0)) &amp; " - " &amp; INDEX(TRANSAKSI_LOG!$H$2:$H$998,MATCH(1,INDEX((TRANSAKSI_LOG!$C$2:$C$998=$C$5)*(TRANSAKSI_LOG!$J$2:$J$998=E$7)*(TRANSAKSI_LOG!$E$2:$E$998&lt;=$B40)*(TRANSAKSI_LOG!$F$2:$F$998&gt;=$B40),0),0)),"")</f>
        <v/>
      </c>
      <c r="F40" s="66" t="str">
        <f t="array" ref="F40">IFERROR(INDEX(TRANSAKSI_LOG!$M$2:$M$998,MATCH(1,INDEX((TRANSAKSI_LOG!$C$2:$C$998=$C$5)*(TRANSAKSI_LOG!$J$2:$J$998=F$7)*(TRANSAKSI_LOG!$E$2:$E$998&lt;=$B40)*(TRANSAKSI_LOG!$F$2:$F$998&gt;=$B40),0),0)) &amp; " - " &amp; INDEX(TRANSAKSI_LOG!$H$2:$H$998,MATCH(1,INDEX((TRANSAKSI_LOG!$C$2:$C$998=$C$5)*(TRANSAKSI_LOG!$J$2:$J$998=F$7)*(TRANSAKSI_LOG!$E$2:$E$998&lt;=$B40)*(TRANSAKSI_LOG!$F$2:$F$998&gt;=$B40),0),0)),"")</f>
        <v/>
      </c>
      <c r="G40" s="66" t="str">
        <f t="array" ref="G40">IFERROR(INDEX(TRANSAKSI_LOG!$M$2:$M$998,MATCH(1,INDEX((TRANSAKSI_LOG!$C$2:$C$998=$C$5)*(TRANSAKSI_LOG!$J$2:$J$998=G$7)*(TRANSAKSI_LOG!$E$2:$E$998&lt;=$B40)*(TRANSAKSI_LOG!$F$2:$F$998&gt;=$B40),0),0)) &amp; " - " &amp; INDEX(TRANSAKSI_LOG!$H$2:$H$998,MATCH(1,INDEX((TRANSAKSI_LOG!$C$2:$C$998=$C$5)*(TRANSAKSI_LOG!$J$2:$J$998=G$7)*(TRANSAKSI_LOG!$E$2:$E$998&lt;=$B40)*(TRANSAKSI_LOG!$F$2:$F$998&gt;=$B40),0),0)),"")</f>
        <v/>
      </c>
      <c r="H40" s="66" t="str">
        <f t="array" ref="H40">IFERROR(INDEX(TRANSAKSI_LOG!$M$2:$M$998,MATCH(1,INDEX((TRANSAKSI_LOG!$C$2:$C$998=$C$5)*(TRANSAKSI_LOG!$J$2:$J$998=H$7)*(TRANSAKSI_LOG!$E$2:$E$998&lt;=$B40)*(TRANSAKSI_LOG!$F$2:$F$998&gt;=$B40),0),0)) &amp; " - " &amp; INDEX(TRANSAKSI_LOG!$H$2:$H$998,MATCH(1,INDEX((TRANSAKSI_LOG!$C$2:$C$998=$C$5)*(TRANSAKSI_LOG!$J$2:$J$998=H$7)*(TRANSAKSI_LOG!$E$2:$E$998&lt;=$B40)*(TRANSAKSI_LOG!$F$2:$F$998&gt;=$B40),0),0)),"")</f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13">
        <v>0.4479166666666667</v>
      </c>
      <c r="C41" s="66" t="str">
        <f t="array" ref="C41">IFERROR(INDEX(TRANSAKSI_LOG!$M$2:$M$998,MATCH(1,INDEX((TRANSAKSI_LOG!$C$2:$C$998=$C$5)*(TRANSAKSI_LOG!$J$2:$J$998=C$7)*(TRANSAKSI_LOG!$E$2:$E$998&lt;=$B41)*(TRANSAKSI_LOG!$F$2:$F$998&gt;=$B41),0),0)) &amp; " - " &amp; INDEX(TRANSAKSI_LOG!$H$2:$H$998,MATCH(1,INDEX((TRANSAKSI_LOG!$C$2:$C$998=$C$5)*(TRANSAKSI_LOG!$J$2:$J$998=C$7)*(TRANSAKSI_LOG!$E$2:$E$998&lt;=$B41)*(TRANSAKSI_LOG!$F$2:$F$998&gt;=$B41),0),0)),"")</f>
        <v/>
      </c>
      <c r="D41" s="66" t="str">
        <f t="array" ref="D41">IFERROR(INDEX(TRANSAKSI_LOG!$M$2:$M$998,MATCH(1,INDEX((TRANSAKSI_LOG!$C$2:$C$998=$C$5)*(TRANSAKSI_LOG!$J$2:$J$998=D$7)*(TRANSAKSI_LOG!$E$2:$E$998&lt;=$B41)*(TRANSAKSI_LOG!$F$2:$F$998&gt;=$B41),0),0)) &amp; " - " &amp; INDEX(TRANSAKSI_LOG!$H$2:$H$998,MATCH(1,INDEX((TRANSAKSI_LOG!$C$2:$C$998=$C$5)*(TRANSAKSI_LOG!$J$2:$J$998=D$7)*(TRANSAKSI_LOG!$E$2:$E$998&lt;=$B41)*(TRANSAKSI_LOG!$F$2:$F$998&gt;=$B41),0),0)),"")</f>
        <v/>
      </c>
      <c r="E41" s="66" t="str">
        <f t="array" ref="E41">IFERROR(INDEX(TRANSAKSI_LOG!$M$2:$M$998,MATCH(1,INDEX((TRANSAKSI_LOG!$C$2:$C$998=$C$5)*(TRANSAKSI_LOG!$J$2:$J$998=E$7)*(TRANSAKSI_LOG!$E$2:$E$998&lt;=$B41)*(TRANSAKSI_LOG!$F$2:$F$998&gt;=$B41),0),0)) &amp; " - " &amp; INDEX(TRANSAKSI_LOG!$H$2:$H$998,MATCH(1,INDEX((TRANSAKSI_LOG!$C$2:$C$998=$C$5)*(TRANSAKSI_LOG!$J$2:$J$998=E$7)*(TRANSAKSI_LOG!$E$2:$E$998&lt;=$B41)*(TRANSAKSI_LOG!$F$2:$F$998&gt;=$B41),0),0)),"")</f>
        <v/>
      </c>
      <c r="F41" s="66" t="str">
        <f t="array" ref="F41">IFERROR(INDEX(TRANSAKSI_LOG!$M$2:$M$998,MATCH(1,INDEX((TRANSAKSI_LOG!$C$2:$C$998=$C$5)*(TRANSAKSI_LOG!$J$2:$J$998=F$7)*(TRANSAKSI_LOG!$E$2:$E$998&lt;=$B41)*(TRANSAKSI_LOG!$F$2:$F$998&gt;=$B41),0),0)) &amp; " - " &amp; INDEX(TRANSAKSI_LOG!$H$2:$H$998,MATCH(1,INDEX((TRANSAKSI_LOG!$C$2:$C$998=$C$5)*(TRANSAKSI_LOG!$J$2:$J$998=F$7)*(TRANSAKSI_LOG!$E$2:$E$998&lt;=$B41)*(TRANSAKSI_LOG!$F$2:$F$998&gt;=$B41),0),0)),"")</f>
        <v/>
      </c>
      <c r="G41" s="66" t="str">
        <f t="array" ref="G41">IFERROR(INDEX(TRANSAKSI_LOG!$M$2:$M$998,MATCH(1,INDEX((TRANSAKSI_LOG!$C$2:$C$998=$C$5)*(TRANSAKSI_LOG!$J$2:$J$998=G$7)*(TRANSAKSI_LOG!$E$2:$E$998&lt;=$B41)*(TRANSAKSI_LOG!$F$2:$F$998&gt;=$B41),0),0)) &amp; " - " &amp; INDEX(TRANSAKSI_LOG!$H$2:$H$998,MATCH(1,INDEX((TRANSAKSI_LOG!$C$2:$C$998=$C$5)*(TRANSAKSI_LOG!$J$2:$J$998=G$7)*(TRANSAKSI_LOG!$E$2:$E$998&lt;=$B41)*(TRANSAKSI_LOG!$F$2:$F$998&gt;=$B41),0),0)),"")</f>
        <v/>
      </c>
      <c r="H41" s="66" t="str">
        <f t="array" ref="H41">IFERROR(INDEX(TRANSAKSI_LOG!$M$2:$M$998,MATCH(1,INDEX((TRANSAKSI_LOG!$C$2:$C$998=$C$5)*(TRANSAKSI_LOG!$J$2:$J$998=H$7)*(TRANSAKSI_LOG!$E$2:$E$998&lt;=$B41)*(TRANSAKSI_LOG!$F$2:$F$998&gt;=$B41),0),0)) &amp; " - " &amp; INDEX(TRANSAKSI_LOG!$H$2:$H$998,MATCH(1,INDEX((TRANSAKSI_LOG!$C$2:$C$998=$C$5)*(TRANSAKSI_LOG!$J$2:$J$998=H$7)*(TRANSAKSI_LOG!$E$2:$E$998&lt;=$B41)*(TRANSAKSI_LOG!$F$2:$F$998&gt;=$B41),0),0)),"")</f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13">
        <v>0.4513888888888889</v>
      </c>
      <c r="C42" s="66" t="str">
        <f t="array" ref="C42">IFERROR(INDEX(TRANSAKSI_LOG!$M$2:$M$998,MATCH(1,INDEX((TRANSAKSI_LOG!$C$2:$C$998=$C$5)*(TRANSAKSI_LOG!$J$2:$J$998=C$7)*(TRANSAKSI_LOG!$E$2:$E$998&lt;=$B42)*(TRANSAKSI_LOG!$F$2:$F$998&gt;=$B42),0),0)) &amp; " - " &amp; INDEX(TRANSAKSI_LOG!$H$2:$H$998,MATCH(1,INDEX((TRANSAKSI_LOG!$C$2:$C$998=$C$5)*(TRANSAKSI_LOG!$J$2:$J$998=C$7)*(TRANSAKSI_LOG!$E$2:$E$998&lt;=$B42)*(TRANSAKSI_LOG!$F$2:$F$998&gt;=$B42),0),0)),"")</f>
        <v/>
      </c>
      <c r="D42" s="66" t="str">
        <f t="array" ref="D42">IFERROR(INDEX(TRANSAKSI_LOG!$M$2:$M$998,MATCH(1,INDEX((TRANSAKSI_LOG!$C$2:$C$998=$C$5)*(TRANSAKSI_LOG!$J$2:$J$998=D$7)*(TRANSAKSI_LOG!$E$2:$E$998&lt;=$B42)*(TRANSAKSI_LOG!$F$2:$F$998&gt;=$B42),0),0)) &amp; " - " &amp; INDEX(TRANSAKSI_LOG!$H$2:$H$998,MATCH(1,INDEX((TRANSAKSI_LOG!$C$2:$C$998=$C$5)*(TRANSAKSI_LOG!$J$2:$J$998=D$7)*(TRANSAKSI_LOG!$E$2:$E$998&lt;=$B42)*(TRANSAKSI_LOG!$F$2:$F$998&gt;=$B42),0),0)),"")</f>
        <v/>
      </c>
      <c r="E42" s="66" t="str">
        <f t="array" ref="E42">IFERROR(INDEX(TRANSAKSI_LOG!$M$2:$M$998,MATCH(1,INDEX((TRANSAKSI_LOG!$C$2:$C$998=$C$5)*(TRANSAKSI_LOG!$J$2:$J$998=E$7)*(TRANSAKSI_LOG!$E$2:$E$998&lt;=$B42)*(TRANSAKSI_LOG!$F$2:$F$998&gt;=$B42),0),0)) &amp; " - " &amp; INDEX(TRANSAKSI_LOG!$H$2:$H$998,MATCH(1,INDEX((TRANSAKSI_LOG!$C$2:$C$998=$C$5)*(TRANSAKSI_LOG!$J$2:$J$998=E$7)*(TRANSAKSI_LOG!$E$2:$E$998&lt;=$B42)*(TRANSAKSI_LOG!$F$2:$F$998&gt;=$B42),0),0)),"")</f>
        <v/>
      </c>
      <c r="F42" s="66" t="str">
        <f t="array" ref="F42">IFERROR(INDEX(TRANSAKSI_LOG!$M$2:$M$998,MATCH(1,INDEX((TRANSAKSI_LOG!$C$2:$C$998=$C$5)*(TRANSAKSI_LOG!$J$2:$J$998=F$7)*(TRANSAKSI_LOG!$E$2:$E$998&lt;=$B42)*(TRANSAKSI_LOG!$F$2:$F$998&gt;=$B42),0),0)) &amp; " - " &amp; INDEX(TRANSAKSI_LOG!$H$2:$H$998,MATCH(1,INDEX((TRANSAKSI_LOG!$C$2:$C$998=$C$5)*(TRANSAKSI_LOG!$J$2:$J$998=F$7)*(TRANSAKSI_LOG!$E$2:$E$998&lt;=$B42)*(TRANSAKSI_LOG!$F$2:$F$998&gt;=$B42),0),0)),"")</f>
        <v/>
      </c>
      <c r="G42" s="66" t="str">
        <f t="array" ref="G42">IFERROR(INDEX(TRANSAKSI_LOG!$M$2:$M$998,MATCH(1,INDEX((TRANSAKSI_LOG!$C$2:$C$998=$C$5)*(TRANSAKSI_LOG!$J$2:$J$998=G$7)*(TRANSAKSI_LOG!$E$2:$E$998&lt;=$B42)*(TRANSAKSI_LOG!$F$2:$F$998&gt;=$B42),0),0)) &amp; " - " &amp; INDEX(TRANSAKSI_LOG!$H$2:$H$998,MATCH(1,INDEX((TRANSAKSI_LOG!$C$2:$C$998=$C$5)*(TRANSAKSI_LOG!$J$2:$J$998=G$7)*(TRANSAKSI_LOG!$E$2:$E$998&lt;=$B42)*(TRANSAKSI_LOG!$F$2:$F$998&gt;=$B42),0),0)),"")</f>
        <v/>
      </c>
      <c r="H42" s="66" t="str">
        <f t="array" ref="H42">IFERROR(INDEX(TRANSAKSI_LOG!$M$2:$M$998,MATCH(1,INDEX((TRANSAKSI_LOG!$C$2:$C$998=$C$5)*(TRANSAKSI_LOG!$J$2:$J$998=H$7)*(TRANSAKSI_LOG!$E$2:$E$998&lt;=$B42)*(TRANSAKSI_LOG!$F$2:$F$998&gt;=$B42),0),0)) &amp; " - " &amp; INDEX(TRANSAKSI_LOG!$H$2:$H$998,MATCH(1,INDEX((TRANSAKSI_LOG!$C$2:$C$998=$C$5)*(TRANSAKSI_LOG!$J$2:$J$998=H$7)*(TRANSAKSI_LOG!$E$2:$E$998&lt;=$B42)*(TRANSAKSI_LOG!$F$2:$F$998&gt;=$B42),0),0)),"")</f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13">
        <v>0.4548611111111111</v>
      </c>
      <c r="C43" s="66" t="str">
        <f t="array" ref="C43">IFERROR(INDEX(TRANSAKSI_LOG!$M$2:$M$998,MATCH(1,INDEX((TRANSAKSI_LOG!$C$2:$C$998=$C$5)*(TRANSAKSI_LOG!$J$2:$J$998=C$7)*(TRANSAKSI_LOG!$E$2:$E$998&lt;=$B43)*(TRANSAKSI_LOG!$F$2:$F$998&gt;=$B43),0),0)) &amp; " - " &amp; INDEX(TRANSAKSI_LOG!$H$2:$H$998,MATCH(1,INDEX((TRANSAKSI_LOG!$C$2:$C$998=$C$5)*(TRANSAKSI_LOG!$J$2:$J$998=C$7)*(TRANSAKSI_LOG!$E$2:$E$998&lt;=$B43)*(TRANSAKSI_LOG!$F$2:$F$998&gt;=$B43),0),0)),"")</f>
        <v/>
      </c>
      <c r="D43" s="66" t="str">
        <f t="array" ref="D43">IFERROR(INDEX(TRANSAKSI_LOG!$M$2:$M$998,MATCH(1,INDEX((TRANSAKSI_LOG!$C$2:$C$998=$C$5)*(TRANSAKSI_LOG!$J$2:$J$998=D$7)*(TRANSAKSI_LOG!$E$2:$E$998&lt;=$B43)*(TRANSAKSI_LOG!$F$2:$F$998&gt;=$B43),0),0)) &amp; " - " &amp; INDEX(TRANSAKSI_LOG!$H$2:$H$998,MATCH(1,INDEX((TRANSAKSI_LOG!$C$2:$C$998=$C$5)*(TRANSAKSI_LOG!$J$2:$J$998=D$7)*(TRANSAKSI_LOG!$E$2:$E$998&lt;=$B43)*(TRANSAKSI_LOG!$F$2:$F$998&gt;=$B43),0),0)),"")</f>
        <v/>
      </c>
      <c r="E43" s="66" t="str">
        <f t="array" ref="E43">IFERROR(INDEX(TRANSAKSI_LOG!$M$2:$M$998,MATCH(1,INDEX((TRANSAKSI_LOG!$C$2:$C$998=$C$5)*(TRANSAKSI_LOG!$J$2:$J$998=E$7)*(TRANSAKSI_LOG!$E$2:$E$998&lt;=$B43)*(TRANSAKSI_LOG!$F$2:$F$998&gt;=$B43),0),0)) &amp; " - " &amp; INDEX(TRANSAKSI_LOG!$H$2:$H$998,MATCH(1,INDEX((TRANSAKSI_LOG!$C$2:$C$998=$C$5)*(TRANSAKSI_LOG!$J$2:$J$998=E$7)*(TRANSAKSI_LOG!$E$2:$E$998&lt;=$B43)*(TRANSAKSI_LOG!$F$2:$F$998&gt;=$B43),0),0)),"")</f>
        <v/>
      </c>
      <c r="F43" s="66" t="str">
        <f t="array" ref="F43">IFERROR(INDEX(TRANSAKSI_LOG!$M$2:$M$998,MATCH(1,INDEX((TRANSAKSI_LOG!$C$2:$C$998=$C$5)*(TRANSAKSI_LOG!$J$2:$J$998=F$7)*(TRANSAKSI_LOG!$E$2:$E$998&lt;=$B43)*(TRANSAKSI_LOG!$F$2:$F$998&gt;=$B43),0),0)) &amp; " - " &amp; INDEX(TRANSAKSI_LOG!$H$2:$H$998,MATCH(1,INDEX((TRANSAKSI_LOG!$C$2:$C$998=$C$5)*(TRANSAKSI_LOG!$J$2:$J$998=F$7)*(TRANSAKSI_LOG!$E$2:$E$998&lt;=$B43)*(TRANSAKSI_LOG!$F$2:$F$998&gt;=$B43),0),0)),"")</f>
        <v/>
      </c>
      <c r="G43" s="66" t="str">
        <f t="array" ref="G43">IFERROR(INDEX(TRANSAKSI_LOG!$M$2:$M$998,MATCH(1,INDEX((TRANSAKSI_LOG!$C$2:$C$998=$C$5)*(TRANSAKSI_LOG!$J$2:$J$998=G$7)*(TRANSAKSI_LOG!$E$2:$E$998&lt;=$B43)*(TRANSAKSI_LOG!$F$2:$F$998&gt;=$B43),0),0)) &amp; " - " &amp; INDEX(TRANSAKSI_LOG!$H$2:$H$998,MATCH(1,INDEX((TRANSAKSI_LOG!$C$2:$C$998=$C$5)*(TRANSAKSI_LOG!$J$2:$J$998=G$7)*(TRANSAKSI_LOG!$E$2:$E$998&lt;=$B43)*(TRANSAKSI_LOG!$F$2:$F$998&gt;=$B43),0),0)),"")</f>
        <v/>
      </c>
      <c r="H43" s="66" t="str">
        <f t="array" ref="H43">IFERROR(INDEX(TRANSAKSI_LOG!$M$2:$M$998,MATCH(1,INDEX((TRANSAKSI_LOG!$C$2:$C$998=$C$5)*(TRANSAKSI_LOG!$J$2:$J$998=H$7)*(TRANSAKSI_LOG!$E$2:$E$998&lt;=$B43)*(TRANSAKSI_LOG!$F$2:$F$998&gt;=$B43),0),0)) &amp; " - " &amp; INDEX(TRANSAKSI_LOG!$H$2:$H$998,MATCH(1,INDEX((TRANSAKSI_LOG!$C$2:$C$998=$C$5)*(TRANSAKSI_LOG!$J$2:$J$998=H$7)*(TRANSAKSI_LOG!$E$2:$E$998&lt;=$B43)*(TRANSAKSI_LOG!$F$2:$F$998&gt;=$B43),0),0)),"")</f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13">
        <v>0.4583333333333333</v>
      </c>
      <c r="C44" s="66" t="str">
        <f t="array" ref="C44">IFERROR(INDEX(TRANSAKSI_LOG!$M$2:$M$998,MATCH(1,INDEX((TRANSAKSI_LOG!$C$2:$C$998=$C$5)*(TRANSAKSI_LOG!$J$2:$J$998=C$7)*(TRANSAKSI_LOG!$E$2:$E$998&lt;=$B44)*(TRANSAKSI_LOG!$F$2:$F$998&gt;=$B44),0),0)) &amp; " - " &amp; INDEX(TRANSAKSI_LOG!$H$2:$H$998,MATCH(1,INDEX((TRANSAKSI_LOG!$C$2:$C$998=$C$5)*(TRANSAKSI_LOG!$J$2:$J$998=C$7)*(TRANSAKSI_LOG!$E$2:$E$998&lt;=$B44)*(TRANSAKSI_LOG!$F$2:$F$998&gt;=$B44),0),0)),"")</f>
        <v/>
      </c>
      <c r="D44" s="66" t="str">
        <f t="array" ref="D44">IFERROR(INDEX(TRANSAKSI_LOG!$M$2:$M$998,MATCH(1,INDEX((TRANSAKSI_LOG!$C$2:$C$998=$C$5)*(TRANSAKSI_LOG!$J$2:$J$998=D$7)*(TRANSAKSI_LOG!$E$2:$E$998&lt;=$B44)*(TRANSAKSI_LOG!$F$2:$F$998&gt;=$B44),0),0)) &amp; " - " &amp; INDEX(TRANSAKSI_LOG!$H$2:$H$998,MATCH(1,INDEX((TRANSAKSI_LOG!$C$2:$C$998=$C$5)*(TRANSAKSI_LOG!$J$2:$J$998=D$7)*(TRANSAKSI_LOG!$E$2:$E$998&lt;=$B44)*(TRANSAKSI_LOG!$F$2:$F$998&gt;=$B44),0),0)),"")</f>
        <v/>
      </c>
      <c r="E44" s="66" t="str">
        <f t="array" ref="E44">IFERROR(INDEX(TRANSAKSI_LOG!$M$2:$M$998,MATCH(1,INDEX((TRANSAKSI_LOG!$C$2:$C$998=$C$5)*(TRANSAKSI_LOG!$J$2:$J$998=E$7)*(TRANSAKSI_LOG!$E$2:$E$998&lt;=$B44)*(TRANSAKSI_LOG!$F$2:$F$998&gt;=$B44),0),0)) &amp; " - " &amp; INDEX(TRANSAKSI_LOG!$H$2:$H$998,MATCH(1,INDEX((TRANSAKSI_LOG!$C$2:$C$998=$C$5)*(TRANSAKSI_LOG!$J$2:$J$998=E$7)*(TRANSAKSI_LOG!$E$2:$E$998&lt;=$B44)*(TRANSAKSI_LOG!$F$2:$F$998&gt;=$B44),0),0)),"")</f>
        <v/>
      </c>
      <c r="F44" s="66" t="str">
        <f t="array" ref="F44">IFERROR(INDEX(TRANSAKSI_LOG!$M$2:$M$998,MATCH(1,INDEX((TRANSAKSI_LOG!$C$2:$C$998=$C$5)*(TRANSAKSI_LOG!$J$2:$J$998=F$7)*(TRANSAKSI_LOG!$E$2:$E$998&lt;=$B44)*(TRANSAKSI_LOG!$F$2:$F$998&gt;=$B44),0),0)) &amp; " - " &amp; INDEX(TRANSAKSI_LOG!$H$2:$H$998,MATCH(1,INDEX((TRANSAKSI_LOG!$C$2:$C$998=$C$5)*(TRANSAKSI_LOG!$J$2:$J$998=F$7)*(TRANSAKSI_LOG!$E$2:$E$998&lt;=$B44)*(TRANSAKSI_LOG!$F$2:$F$998&gt;=$B44),0),0)),"")</f>
        <v/>
      </c>
      <c r="G44" s="66" t="str">
        <f t="array" ref="G44">IFERROR(INDEX(TRANSAKSI_LOG!$M$2:$M$998,MATCH(1,INDEX((TRANSAKSI_LOG!$C$2:$C$998=$C$5)*(TRANSAKSI_LOG!$J$2:$J$998=G$7)*(TRANSAKSI_LOG!$E$2:$E$998&lt;=$B44)*(TRANSAKSI_LOG!$F$2:$F$998&gt;=$B44),0),0)) &amp; " - " &amp; INDEX(TRANSAKSI_LOG!$H$2:$H$998,MATCH(1,INDEX((TRANSAKSI_LOG!$C$2:$C$998=$C$5)*(TRANSAKSI_LOG!$J$2:$J$998=G$7)*(TRANSAKSI_LOG!$E$2:$E$998&lt;=$B44)*(TRANSAKSI_LOG!$F$2:$F$998&gt;=$B44),0),0)),"")</f>
        <v/>
      </c>
      <c r="H44" s="66" t="str">
        <f t="array" ref="H44">IFERROR(INDEX(TRANSAKSI_LOG!$M$2:$M$998,MATCH(1,INDEX((TRANSAKSI_LOG!$C$2:$C$998=$C$5)*(TRANSAKSI_LOG!$J$2:$J$998=H$7)*(TRANSAKSI_LOG!$E$2:$E$998&lt;=$B44)*(TRANSAKSI_LOG!$F$2:$F$998&gt;=$B44),0),0)) &amp; " - " &amp; INDEX(TRANSAKSI_LOG!$H$2:$H$998,MATCH(1,INDEX((TRANSAKSI_LOG!$C$2:$C$998=$C$5)*(TRANSAKSI_LOG!$J$2:$J$998=H$7)*(TRANSAKSI_LOG!$E$2:$E$998&lt;=$B44)*(TRANSAKSI_LOG!$F$2:$F$998&gt;=$B44),0),0)),"")</f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13">
        <v>0.4618055555555556</v>
      </c>
      <c r="C45" s="66" t="str">
        <f t="array" ref="C45">IFERROR(INDEX(TRANSAKSI_LOG!$M$2:$M$998,MATCH(1,INDEX((TRANSAKSI_LOG!$C$2:$C$998=$C$5)*(TRANSAKSI_LOG!$J$2:$J$998=C$7)*(TRANSAKSI_LOG!$E$2:$E$998&lt;=$B45)*(TRANSAKSI_LOG!$F$2:$F$998&gt;=$B45),0),0)) &amp; " - " &amp; INDEX(TRANSAKSI_LOG!$H$2:$H$998,MATCH(1,INDEX((TRANSAKSI_LOG!$C$2:$C$998=$C$5)*(TRANSAKSI_LOG!$J$2:$J$998=C$7)*(TRANSAKSI_LOG!$E$2:$E$998&lt;=$B45)*(TRANSAKSI_LOG!$F$2:$F$998&gt;=$B45),0),0)),"")</f>
        <v/>
      </c>
      <c r="D45" s="66" t="str">
        <f t="array" ref="D45">IFERROR(INDEX(TRANSAKSI_LOG!$M$2:$M$998,MATCH(1,INDEX((TRANSAKSI_LOG!$C$2:$C$998=$C$5)*(TRANSAKSI_LOG!$J$2:$J$998=D$7)*(TRANSAKSI_LOG!$E$2:$E$998&lt;=$B45)*(TRANSAKSI_LOG!$F$2:$F$998&gt;=$B45),0),0)) &amp; " - " &amp; INDEX(TRANSAKSI_LOG!$H$2:$H$998,MATCH(1,INDEX((TRANSAKSI_LOG!$C$2:$C$998=$C$5)*(TRANSAKSI_LOG!$J$2:$J$998=D$7)*(TRANSAKSI_LOG!$E$2:$E$998&lt;=$B45)*(TRANSAKSI_LOG!$F$2:$F$998&gt;=$B45),0),0)),"")</f>
        <v/>
      </c>
      <c r="E45" s="66" t="str">
        <f t="array" ref="E45">IFERROR(INDEX(TRANSAKSI_LOG!$M$2:$M$998,MATCH(1,INDEX((TRANSAKSI_LOG!$C$2:$C$998=$C$5)*(TRANSAKSI_LOG!$J$2:$J$998=E$7)*(TRANSAKSI_LOG!$E$2:$E$998&lt;=$B45)*(TRANSAKSI_LOG!$F$2:$F$998&gt;=$B45),0),0)) &amp; " - " &amp; INDEX(TRANSAKSI_LOG!$H$2:$H$998,MATCH(1,INDEX((TRANSAKSI_LOG!$C$2:$C$998=$C$5)*(TRANSAKSI_LOG!$J$2:$J$998=E$7)*(TRANSAKSI_LOG!$E$2:$E$998&lt;=$B45)*(TRANSAKSI_LOG!$F$2:$F$998&gt;=$B45),0),0)),"")</f>
        <v/>
      </c>
      <c r="F45" s="66" t="str">
        <f t="array" ref="F45">IFERROR(INDEX(TRANSAKSI_LOG!$M$2:$M$998,MATCH(1,INDEX((TRANSAKSI_LOG!$C$2:$C$998=$C$5)*(TRANSAKSI_LOG!$J$2:$J$998=F$7)*(TRANSAKSI_LOG!$E$2:$E$998&lt;=$B45)*(TRANSAKSI_LOG!$F$2:$F$998&gt;=$B45),0),0)) &amp; " - " &amp; INDEX(TRANSAKSI_LOG!$H$2:$H$998,MATCH(1,INDEX((TRANSAKSI_LOG!$C$2:$C$998=$C$5)*(TRANSAKSI_LOG!$J$2:$J$998=F$7)*(TRANSAKSI_LOG!$E$2:$E$998&lt;=$B45)*(TRANSAKSI_LOG!$F$2:$F$998&gt;=$B45),0),0)),"")</f>
        <v/>
      </c>
      <c r="G45" s="66" t="str">
        <f t="array" ref="G45">IFERROR(INDEX(TRANSAKSI_LOG!$M$2:$M$998,MATCH(1,INDEX((TRANSAKSI_LOG!$C$2:$C$998=$C$5)*(TRANSAKSI_LOG!$J$2:$J$998=G$7)*(TRANSAKSI_LOG!$E$2:$E$998&lt;=$B45)*(TRANSAKSI_LOG!$F$2:$F$998&gt;=$B45),0),0)) &amp; " - " &amp; INDEX(TRANSAKSI_LOG!$H$2:$H$998,MATCH(1,INDEX((TRANSAKSI_LOG!$C$2:$C$998=$C$5)*(TRANSAKSI_LOG!$J$2:$J$998=G$7)*(TRANSAKSI_LOG!$E$2:$E$998&lt;=$B45)*(TRANSAKSI_LOG!$F$2:$F$998&gt;=$B45),0),0)),"")</f>
        <v/>
      </c>
      <c r="H45" s="66" t="str">
        <f t="array" ref="H45">IFERROR(INDEX(TRANSAKSI_LOG!$M$2:$M$998,MATCH(1,INDEX((TRANSAKSI_LOG!$C$2:$C$998=$C$5)*(TRANSAKSI_LOG!$J$2:$J$998=H$7)*(TRANSAKSI_LOG!$E$2:$E$998&lt;=$B45)*(TRANSAKSI_LOG!$F$2:$F$998&gt;=$B45),0),0)) &amp; " - " &amp; INDEX(TRANSAKSI_LOG!$H$2:$H$998,MATCH(1,INDEX((TRANSAKSI_LOG!$C$2:$C$998=$C$5)*(TRANSAKSI_LOG!$J$2:$J$998=H$7)*(TRANSAKSI_LOG!$E$2:$E$998&lt;=$B45)*(TRANSAKSI_LOG!$F$2:$F$998&gt;=$B45),0),0)),"")</f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13">
        <v>0.4652777777777778</v>
      </c>
      <c r="C46" s="66" t="str">
        <f t="array" ref="C46">IFERROR(INDEX(TRANSAKSI_LOG!$M$2:$M$998,MATCH(1,INDEX((TRANSAKSI_LOG!$C$2:$C$998=$C$5)*(TRANSAKSI_LOG!$J$2:$J$998=C$7)*(TRANSAKSI_LOG!$E$2:$E$998&lt;=$B46)*(TRANSAKSI_LOG!$F$2:$F$998&gt;=$B46),0),0)) &amp; " - " &amp; INDEX(TRANSAKSI_LOG!$H$2:$H$998,MATCH(1,INDEX((TRANSAKSI_LOG!$C$2:$C$998=$C$5)*(TRANSAKSI_LOG!$J$2:$J$998=C$7)*(TRANSAKSI_LOG!$E$2:$E$998&lt;=$B46)*(TRANSAKSI_LOG!$F$2:$F$998&gt;=$B46),0),0)),"")</f>
        <v/>
      </c>
      <c r="D46" s="66" t="str">
        <f t="array" ref="D46">IFERROR(INDEX(TRANSAKSI_LOG!$M$2:$M$998,MATCH(1,INDEX((TRANSAKSI_LOG!$C$2:$C$998=$C$5)*(TRANSAKSI_LOG!$J$2:$J$998=D$7)*(TRANSAKSI_LOG!$E$2:$E$998&lt;=$B46)*(TRANSAKSI_LOG!$F$2:$F$998&gt;=$B46),0),0)) &amp; " - " &amp; INDEX(TRANSAKSI_LOG!$H$2:$H$998,MATCH(1,INDEX((TRANSAKSI_LOG!$C$2:$C$998=$C$5)*(TRANSAKSI_LOG!$J$2:$J$998=D$7)*(TRANSAKSI_LOG!$E$2:$E$998&lt;=$B46)*(TRANSAKSI_LOG!$F$2:$F$998&gt;=$B46),0),0)),"")</f>
        <v/>
      </c>
      <c r="E46" s="66" t="str">
        <f t="array" ref="E46">IFERROR(INDEX(TRANSAKSI_LOG!$M$2:$M$998,MATCH(1,INDEX((TRANSAKSI_LOG!$C$2:$C$998=$C$5)*(TRANSAKSI_LOG!$J$2:$J$998=E$7)*(TRANSAKSI_LOG!$E$2:$E$998&lt;=$B46)*(TRANSAKSI_LOG!$F$2:$F$998&gt;=$B46),0),0)) &amp; " - " &amp; INDEX(TRANSAKSI_LOG!$H$2:$H$998,MATCH(1,INDEX((TRANSAKSI_LOG!$C$2:$C$998=$C$5)*(TRANSAKSI_LOG!$J$2:$J$998=E$7)*(TRANSAKSI_LOG!$E$2:$E$998&lt;=$B46)*(TRANSAKSI_LOG!$F$2:$F$998&gt;=$B46),0),0)),"")</f>
        <v/>
      </c>
      <c r="F46" s="66" t="str">
        <f t="array" ref="F46">IFERROR(INDEX(TRANSAKSI_LOG!$M$2:$M$998,MATCH(1,INDEX((TRANSAKSI_LOG!$C$2:$C$998=$C$5)*(TRANSAKSI_LOG!$J$2:$J$998=F$7)*(TRANSAKSI_LOG!$E$2:$E$998&lt;=$B46)*(TRANSAKSI_LOG!$F$2:$F$998&gt;=$B46),0),0)) &amp; " - " &amp; INDEX(TRANSAKSI_LOG!$H$2:$H$998,MATCH(1,INDEX((TRANSAKSI_LOG!$C$2:$C$998=$C$5)*(TRANSAKSI_LOG!$J$2:$J$998=F$7)*(TRANSAKSI_LOG!$E$2:$E$998&lt;=$B46)*(TRANSAKSI_LOG!$F$2:$F$998&gt;=$B46),0),0)),"")</f>
        <v/>
      </c>
      <c r="G46" s="66" t="str">
        <f t="array" ref="G46">IFERROR(INDEX(TRANSAKSI_LOG!$M$2:$M$998,MATCH(1,INDEX((TRANSAKSI_LOG!$C$2:$C$998=$C$5)*(TRANSAKSI_LOG!$J$2:$J$998=G$7)*(TRANSAKSI_LOG!$E$2:$E$998&lt;=$B46)*(TRANSAKSI_LOG!$F$2:$F$998&gt;=$B46),0),0)) &amp; " - " &amp; INDEX(TRANSAKSI_LOG!$H$2:$H$998,MATCH(1,INDEX((TRANSAKSI_LOG!$C$2:$C$998=$C$5)*(TRANSAKSI_LOG!$J$2:$J$998=G$7)*(TRANSAKSI_LOG!$E$2:$E$998&lt;=$B46)*(TRANSAKSI_LOG!$F$2:$F$998&gt;=$B46),0),0)),"")</f>
        <v/>
      </c>
      <c r="H46" s="66" t="str">
        <f t="array" ref="H46">IFERROR(INDEX(TRANSAKSI_LOG!$M$2:$M$998,MATCH(1,INDEX((TRANSAKSI_LOG!$C$2:$C$998=$C$5)*(TRANSAKSI_LOG!$J$2:$J$998=H$7)*(TRANSAKSI_LOG!$E$2:$E$998&lt;=$B46)*(TRANSAKSI_LOG!$F$2:$F$998&gt;=$B46),0),0)) &amp; " - " &amp; INDEX(TRANSAKSI_LOG!$H$2:$H$998,MATCH(1,INDEX((TRANSAKSI_LOG!$C$2:$C$998=$C$5)*(TRANSAKSI_LOG!$J$2:$J$998=H$7)*(TRANSAKSI_LOG!$E$2:$E$998&lt;=$B46)*(TRANSAKSI_LOG!$F$2:$F$998&gt;=$B46),0),0)),"")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13">
        <v>0.46875</v>
      </c>
      <c r="C47" s="66" t="str">
        <f t="array" ref="C47">IFERROR(INDEX(TRANSAKSI_LOG!$M$2:$M$998,MATCH(1,INDEX((TRANSAKSI_LOG!$C$2:$C$998=$C$5)*(TRANSAKSI_LOG!$J$2:$J$998=C$7)*(TRANSAKSI_LOG!$E$2:$E$998&lt;=$B47)*(TRANSAKSI_LOG!$F$2:$F$998&gt;=$B47),0),0)) &amp; " - " &amp; INDEX(TRANSAKSI_LOG!$H$2:$H$998,MATCH(1,INDEX((TRANSAKSI_LOG!$C$2:$C$998=$C$5)*(TRANSAKSI_LOG!$J$2:$J$998=C$7)*(TRANSAKSI_LOG!$E$2:$E$998&lt;=$B47)*(TRANSAKSI_LOG!$F$2:$F$998&gt;=$B47),0),0)),"")</f>
        <v/>
      </c>
      <c r="D47" s="66" t="str">
        <f t="array" ref="D47">IFERROR(INDEX(TRANSAKSI_LOG!$M$2:$M$998,MATCH(1,INDEX((TRANSAKSI_LOG!$C$2:$C$998=$C$5)*(TRANSAKSI_LOG!$J$2:$J$998=D$7)*(TRANSAKSI_LOG!$E$2:$E$998&lt;=$B47)*(TRANSAKSI_LOG!$F$2:$F$998&gt;=$B47),0),0)) &amp; " - " &amp; INDEX(TRANSAKSI_LOG!$H$2:$H$998,MATCH(1,INDEX((TRANSAKSI_LOG!$C$2:$C$998=$C$5)*(TRANSAKSI_LOG!$J$2:$J$998=D$7)*(TRANSAKSI_LOG!$E$2:$E$998&lt;=$B47)*(TRANSAKSI_LOG!$F$2:$F$998&gt;=$B47),0),0)),"")</f>
        <v/>
      </c>
      <c r="E47" s="66" t="str">
        <f t="array" ref="E47">IFERROR(INDEX(TRANSAKSI_LOG!$M$2:$M$998,MATCH(1,INDEX((TRANSAKSI_LOG!$C$2:$C$998=$C$5)*(TRANSAKSI_LOG!$J$2:$J$998=E$7)*(TRANSAKSI_LOG!$E$2:$E$998&lt;=$B47)*(TRANSAKSI_LOG!$F$2:$F$998&gt;=$B47),0),0)) &amp; " - " &amp; INDEX(TRANSAKSI_LOG!$H$2:$H$998,MATCH(1,INDEX((TRANSAKSI_LOG!$C$2:$C$998=$C$5)*(TRANSAKSI_LOG!$J$2:$J$998=E$7)*(TRANSAKSI_LOG!$E$2:$E$998&lt;=$B47)*(TRANSAKSI_LOG!$F$2:$F$998&gt;=$B47),0),0)),"")</f>
        <v/>
      </c>
      <c r="F47" s="66" t="str">
        <f t="array" ref="F47">IFERROR(INDEX(TRANSAKSI_LOG!$M$2:$M$998,MATCH(1,INDEX((TRANSAKSI_LOG!$C$2:$C$998=$C$5)*(TRANSAKSI_LOG!$J$2:$J$998=F$7)*(TRANSAKSI_LOG!$E$2:$E$998&lt;=$B47)*(TRANSAKSI_LOG!$F$2:$F$998&gt;=$B47),0),0)) &amp; " - " &amp; INDEX(TRANSAKSI_LOG!$H$2:$H$998,MATCH(1,INDEX((TRANSAKSI_LOG!$C$2:$C$998=$C$5)*(TRANSAKSI_LOG!$J$2:$J$998=F$7)*(TRANSAKSI_LOG!$E$2:$E$998&lt;=$B47)*(TRANSAKSI_LOG!$F$2:$F$998&gt;=$B47),0),0)),"")</f>
        <v/>
      </c>
      <c r="G47" s="66" t="str">
        <f t="array" ref="G47">IFERROR(INDEX(TRANSAKSI_LOG!$M$2:$M$998,MATCH(1,INDEX((TRANSAKSI_LOG!$C$2:$C$998=$C$5)*(TRANSAKSI_LOG!$J$2:$J$998=G$7)*(TRANSAKSI_LOG!$E$2:$E$998&lt;=$B47)*(TRANSAKSI_LOG!$F$2:$F$998&gt;=$B47),0),0)) &amp; " - " &amp; INDEX(TRANSAKSI_LOG!$H$2:$H$998,MATCH(1,INDEX((TRANSAKSI_LOG!$C$2:$C$998=$C$5)*(TRANSAKSI_LOG!$J$2:$J$998=G$7)*(TRANSAKSI_LOG!$E$2:$E$998&lt;=$B47)*(TRANSAKSI_LOG!$F$2:$F$998&gt;=$B47),0),0)),"")</f>
        <v/>
      </c>
      <c r="H47" s="66" t="str">
        <f t="array" ref="H47">IFERROR(INDEX(TRANSAKSI_LOG!$M$2:$M$998,MATCH(1,INDEX((TRANSAKSI_LOG!$C$2:$C$998=$C$5)*(TRANSAKSI_LOG!$J$2:$J$998=H$7)*(TRANSAKSI_LOG!$E$2:$E$998&lt;=$B47)*(TRANSAKSI_LOG!$F$2:$F$998&gt;=$B47),0),0)) &amp; " - " &amp; INDEX(TRANSAKSI_LOG!$H$2:$H$998,MATCH(1,INDEX((TRANSAKSI_LOG!$C$2:$C$998=$C$5)*(TRANSAKSI_LOG!$J$2:$J$998=H$7)*(TRANSAKSI_LOG!$E$2:$E$998&lt;=$B47)*(TRANSAKSI_LOG!$F$2:$F$998&gt;=$B47),0),0)),"")</f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13">
        <v>0.4722222222222222</v>
      </c>
      <c r="C48" s="66" t="str">
        <f t="array" ref="C48">IFERROR(INDEX(TRANSAKSI_LOG!$M$2:$M$998,MATCH(1,INDEX((TRANSAKSI_LOG!$C$2:$C$998=$C$5)*(TRANSAKSI_LOG!$J$2:$J$998=C$7)*(TRANSAKSI_LOG!$E$2:$E$998&lt;=$B48)*(TRANSAKSI_LOG!$F$2:$F$998&gt;=$B48),0),0)) &amp; " - " &amp; INDEX(TRANSAKSI_LOG!$H$2:$H$998,MATCH(1,INDEX((TRANSAKSI_LOG!$C$2:$C$998=$C$5)*(TRANSAKSI_LOG!$J$2:$J$998=C$7)*(TRANSAKSI_LOG!$E$2:$E$998&lt;=$B48)*(TRANSAKSI_LOG!$F$2:$F$998&gt;=$B48),0),0)),"")</f>
        <v/>
      </c>
      <c r="D48" s="66" t="str">
        <f t="array" ref="D48">IFERROR(INDEX(TRANSAKSI_LOG!$M$2:$M$998,MATCH(1,INDEX((TRANSAKSI_LOG!$C$2:$C$998=$C$5)*(TRANSAKSI_LOG!$J$2:$J$998=D$7)*(TRANSAKSI_LOG!$E$2:$E$998&lt;=$B48)*(TRANSAKSI_LOG!$F$2:$F$998&gt;=$B48),0),0)) &amp; " - " &amp; INDEX(TRANSAKSI_LOG!$H$2:$H$998,MATCH(1,INDEX((TRANSAKSI_LOG!$C$2:$C$998=$C$5)*(TRANSAKSI_LOG!$J$2:$J$998=D$7)*(TRANSAKSI_LOG!$E$2:$E$998&lt;=$B48)*(TRANSAKSI_LOG!$F$2:$F$998&gt;=$B48),0),0)),"")</f>
        <v/>
      </c>
      <c r="E48" s="66" t="str">
        <f t="array" ref="E48">IFERROR(INDEX(TRANSAKSI_LOG!$M$2:$M$998,MATCH(1,INDEX((TRANSAKSI_LOG!$C$2:$C$998=$C$5)*(TRANSAKSI_LOG!$J$2:$J$998=E$7)*(TRANSAKSI_LOG!$E$2:$E$998&lt;=$B48)*(TRANSAKSI_LOG!$F$2:$F$998&gt;=$B48),0),0)) &amp; " - " &amp; INDEX(TRANSAKSI_LOG!$H$2:$H$998,MATCH(1,INDEX((TRANSAKSI_LOG!$C$2:$C$998=$C$5)*(TRANSAKSI_LOG!$J$2:$J$998=E$7)*(TRANSAKSI_LOG!$E$2:$E$998&lt;=$B48)*(TRANSAKSI_LOG!$F$2:$F$998&gt;=$B48),0),0)),"")</f>
        <v/>
      </c>
      <c r="F48" s="66" t="str">
        <f t="array" ref="F48">IFERROR(INDEX(TRANSAKSI_LOG!$M$2:$M$998,MATCH(1,INDEX((TRANSAKSI_LOG!$C$2:$C$998=$C$5)*(TRANSAKSI_LOG!$J$2:$J$998=F$7)*(TRANSAKSI_LOG!$E$2:$E$998&lt;=$B48)*(TRANSAKSI_LOG!$F$2:$F$998&gt;=$B48),0),0)) &amp; " - " &amp; INDEX(TRANSAKSI_LOG!$H$2:$H$998,MATCH(1,INDEX((TRANSAKSI_LOG!$C$2:$C$998=$C$5)*(TRANSAKSI_LOG!$J$2:$J$998=F$7)*(TRANSAKSI_LOG!$E$2:$E$998&lt;=$B48)*(TRANSAKSI_LOG!$F$2:$F$998&gt;=$B48),0),0)),"")</f>
        <v/>
      </c>
      <c r="G48" s="66" t="str">
        <f t="array" ref="G48">IFERROR(INDEX(TRANSAKSI_LOG!$M$2:$M$998,MATCH(1,INDEX((TRANSAKSI_LOG!$C$2:$C$998=$C$5)*(TRANSAKSI_LOG!$J$2:$J$998=G$7)*(TRANSAKSI_LOG!$E$2:$E$998&lt;=$B48)*(TRANSAKSI_LOG!$F$2:$F$998&gt;=$B48),0),0)) &amp; " - " &amp; INDEX(TRANSAKSI_LOG!$H$2:$H$998,MATCH(1,INDEX((TRANSAKSI_LOG!$C$2:$C$998=$C$5)*(TRANSAKSI_LOG!$J$2:$J$998=G$7)*(TRANSAKSI_LOG!$E$2:$E$998&lt;=$B48)*(TRANSAKSI_LOG!$F$2:$F$998&gt;=$B48),0),0)),"")</f>
        <v/>
      </c>
      <c r="H48" s="66" t="str">
        <f t="array" ref="H48">IFERROR(INDEX(TRANSAKSI_LOG!$M$2:$M$998,MATCH(1,INDEX((TRANSAKSI_LOG!$C$2:$C$998=$C$5)*(TRANSAKSI_LOG!$J$2:$J$998=H$7)*(TRANSAKSI_LOG!$E$2:$E$998&lt;=$B48)*(TRANSAKSI_LOG!$F$2:$F$998&gt;=$B48),0),0)) &amp; " - " &amp; INDEX(TRANSAKSI_LOG!$H$2:$H$998,MATCH(1,INDEX((TRANSAKSI_LOG!$C$2:$C$998=$C$5)*(TRANSAKSI_LOG!$J$2:$J$998=H$7)*(TRANSAKSI_LOG!$E$2:$E$998&lt;=$B48)*(TRANSAKSI_LOG!$F$2:$F$998&gt;=$B48),0),0)),"")</f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13">
        <v>0.4756944444444444</v>
      </c>
      <c r="C49" s="66" t="str">
        <f t="array" ref="C49">IFERROR(INDEX(TRANSAKSI_LOG!$M$2:$M$998,MATCH(1,INDEX((TRANSAKSI_LOG!$C$2:$C$998=$C$5)*(TRANSAKSI_LOG!$J$2:$J$998=C$7)*(TRANSAKSI_LOG!$E$2:$E$998&lt;=$B49)*(TRANSAKSI_LOG!$F$2:$F$998&gt;=$B49),0),0)) &amp; " - " &amp; INDEX(TRANSAKSI_LOG!$H$2:$H$998,MATCH(1,INDEX((TRANSAKSI_LOG!$C$2:$C$998=$C$5)*(TRANSAKSI_LOG!$J$2:$J$998=C$7)*(TRANSAKSI_LOG!$E$2:$E$998&lt;=$B49)*(TRANSAKSI_LOG!$F$2:$F$998&gt;=$B49),0),0)),"")</f>
        <v/>
      </c>
      <c r="D49" s="66" t="str">
        <f t="array" ref="D49">IFERROR(INDEX(TRANSAKSI_LOG!$M$2:$M$998,MATCH(1,INDEX((TRANSAKSI_LOG!$C$2:$C$998=$C$5)*(TRANSAKSI_LOG!$J$2:$J$998=D$7)*(TRANSAKSI_LOG!$E$2:$E$998&lt;=$B49)*(TRANSAKSI_LOG!$F$2:$F$998&gt;=$B49),0),0)) &amp; " - " &amp; INDEX(TRANSAKSI_LOG!$H$2:$H$998,MATCH(1,INDEX((TRANSAKSI_LOG!$C$2:$C$998=$C$5)*(TRANSAKSI_LOG!$J$2:$J$998=D$7)*(TRANSAKSI_LOG!$E$2:$E$998&lt;=$B49)*(TRANSAKSI_LOG!$F$2:$F$998&gt;=$B49),0),0)),"")</f>
        <v/>
      </c>
      <c r="E49" s="66" t="str">
        <f t="array" ref="E49">IFERROR(INDEX(TRANSAKSI_LOG!$M$2:$M$998,MATCH(1,INDEX((TRANSAKSI_LOG!$C$2:$C$998=$C$5)*(TRANSAKSI_LOG!$J$2:$J$998=E$7)*(TRANSAKSI_LOG!$E$2:$E$998&lt;=$B49)*(TRANSAKSI_LOG!$F$2:$F$998&gt;=$B49),0),0)) &amp; " - " &amp; INDEX(TRANSAKSI_LOG!$H$2:$H$998,MATCH(1,INDEX((TRANSAKSI_LOG!$C$2:$C$998=$C$5)*(TRANSAKSI_LOG!$J$2:$J$998=E$7)*(TRANSAKSI_LOG!$E$2:$E$998&lt;=$B49)*(TRANSAKSI_LOG!$F$2:$F$998&gt;=$B49),0),0)),"")</f>
        <v/>
      </c>
      <c r="F49" s="66" t="str">
        <f t="array" ref="F49">IFERROR(INDEX(TRANSAKSI_LOG!$M$2:$M$998,MATCH(1,INDEX((TRANSAKSI_LOG!$C$2:$C$998=$C$5)*(TRANSAKSI_LOG!$J$2:$J$998=F$7)*(TRANSAKSI_LOG!$E$2:$E$998&lt;=$B49)*(TRANSAKSI_LOG!$F$2:$F$998&gt;=$B49),0),0)) &amp; " - " &amp; INDEX(TRANSAKSI_LOG!$H$2:$H$998,MATCH(1,INDEX((TRANSAKSI_LOG!$C$2:$C$998=$C$5)*(TRANSAKSI_LOG!$J$2:$J$998=F$7)*(TRANSAKSI_LOG!$E$2:$E$998&lt;=$B49)*(TRANSAKSI_LOG!$F$2:$F$998&gt;=$B49),0),0)),"")</f>
        <v/>
      </c>
      <c r="G49" s="66" t="str">
        <f t="array" ref="G49">IFERROR(INDEX(TRANSAKSI_LOG!$M$2:$M$998,MATCH(1,INDEX((TRANSAKSI_LOG!$C$2:$C$998=$C$5)*(TRANSAKSI_LOG!$J$2:$J$998=G$7)*(TRANSAKSI_LOG!$E$2:$E$998&lt;=$B49)*(TRANSAKSI_LOG!$F$2:$F$998&gt;=$B49),0),0)) &amp; " - " &amp; INDEX(TRANSAKSI_LOG!$H$2:$H$998,MATCH(1,INDEX((TRANSAKSI_LOG!$C$2:$C$998=$C$5)*(TRANSAKSI_LOG!$J$2:$J$998=G$7)*(TRANSAKSI_LOG!$E$2:$E$998&lt;=$B49)*(TRANSAKSI_LOG!$F$2:$F$998&gt;=$B49),0),0)),"")</f>
        <v/>
      </c>
      <c r="H49" s="66" t="str">
        <f t="array" ref="H49">IFERROR(INDEX(TRANSAKSI_LOG!$M$2:$M$998,MATCH(1,INDEX((TRANSAKSI_LOG!$C$2:$C$998=$C$5)*(TRANSAKSI_LOG!$J$2:$J$998=H$7)*(TRANSAKSI_LOG!$E$2:$E$998&lt;=$B49)*(TRANSAKSI_LOG!$F$2:$F$998&gt;=$B49),0),0)) &amp; " - " &amp; INDEX(TRANSAKSI_LOG!$H$2:$H$998,MATCH(1,INDEX((TRANSAKSI_LOG!$C$2:$C$998=$C$5)*(TRANSAKSI_LOG!$J$2:$J$998=H$7)*(TRANSAKSI_LOG!$E$2:$E$998&lt;=$B49)*(TRANSAKSI_LOG!$F$2:$F$998&gt;=$B49),0),0)),"")</f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13">
        <v>0.4791666666666667</v>
      </c>
      <c r="C50" s="66" t="str">
        <f t="array" ref="C50">IFERROR(INDEX(TRANSAKSI_LOG!$M$2:$M$998,MATCH(1,INDEX((TRANSAKSI_LOG!$C$2:$C$998=$C$5)*(TRANSAKSI_LOG!$J$2:$J$998=C$7)*(TRANSAKSI_LOG!$E$2:$E$998&lt;=$B50)*(TRANSAKSI_LOG!$F$2:$F$998&gt;=$B50),0),0)) &amp; " - " &amp; INDEX(TRANSAKSI_LOG!$H$2:$H$998,MATCH(1,INDEX((TRANSAKSI_LOG!$C$2:$C$998=$C$5)*(TRANSAKSI_LOG!$J$2:$J$998=C$7)*(TRANSAKSI_LOG!$E$2:$E$998&lt;=$B50)*(TRANSAKSI_LOG!$F$2:$F$998&gt;=$B50),0),0)),"")</f>
        <v/>
      </c>
      <c r="D50" s="66" t="str">
        <f t="array" ref="D50">IFERROR(INDEX(TRANSAKSI_LOG!$M$2:$M$998,MATCH(1,INDEX((TRANSAKSI_LOG!$C$2:$C$998=$C$5)*(TRANSAKSI_LOG!$J$2:$J$998=D$7)*(TRANSAKSI_LOG!$E$2:$E$998&lt;=$B50)*(TRANSAKSI_LOG!$F$2:$F$998&gt;=$B50),0),0)) &amp; " - " &amp; INDEX(TRANSAKSI_LOG!$H$2:$H$998,MATCH(1,INDEX((TRANSAKSI_LOG!$C$2:$C$998=$C$5)*(TRANSAKSI_LOG!$J$2:$J$998=D$7)*(TRANSAKSI_LOG!$E$2:$E$998&lt;=$B50)*(TRANSAKSI_LOG!$F$2:$F$998&gt;=$B50),0),0)),"")</f>
        <v/>
      </c>
      <c r="E50" s="66" t="str">
        <f t="array" ref="E50">IFERROR(INDEX(TRANSAKSI_LOG!$M$2:$M$998,MATCH(1,INDEX((TRANSAKSI_LOG!$C$2:$C$998=$C$5)*(TRANSAKSI_LOG!$J$2:$J$998=E$7)*(TRANSAKSI_LOG!$E$2:$E$998&lt;=$B50)*(TRANSAKSI_LOG!$F$2:$F$998&gt;=$B50),0),0)) &amp; " - " &amp; INDEX(TRANSAKSI_LOG!$H$2:$H$998,MATCH(1,INDEX((TRANSAKSI_LOG!$C$2:$C$998=$C$5)*(TRANSAKSI_LOG!$J$2:$J$998=E$7)*(TRANSAKSI_LOG!$E$2:$E$998&lt;=$B50)*(TRANSAKSI_LOG!$F$2:$F$998&gt;=$B50),0),0)),"")</f>
        <v/>
      </c>
      <c r="F50" s="66" t="str">
        <f t="array" ref="F50">IFERROR(INDEX(TRANSAKSI_LOG!$M$2:$M$998,MATCH(1,INDEX((TRANSAKSI_LOG!$C$2:$C$998=$C$5)*(TRANSAKSI_LOG!$J$2:$J$998=F$7)*(TRANSAKSI_LOG!$E$2:$E$998&lt;=$B50)*(TRANSAKSI_LOG!$F$2:$F$998&gt;=$B50),0),0)) &amp; " - " &amp; INDEX(TRANSAKSI_LOG!$H$2:$H$998,MATCH(1,INDEX((TRANSAKSI_LOG!$C$2:$C$998=$C$5)*(TRANSAKSI_LOG!$J$2:$J$998=F$7)*(TRANSAKSI_LOG!$E$2:$E$998&lt;=$B50)*(TRANSAKSI_LOG!$F$2:$F$998&gt;=$B50),0),0)),"")</f>
        <v/>
      </c>
      <c r="G50" s="66" t="str">
        <f t="array" ref="G50">IFERROR(INDEX(TRANSAKSI_LOG!$M$2:$M$998,MATCH(1,INDEX((TRANSAKSI_LOG!$C$2:$C$998=$C$5)*(TRANSAKSI_LOG!$J$2:$J$998=G$7)*(TRANSAKSI_LOG!$E$2:$E$998&lt;=$B50)*(TRANSAKSI_LOG!$F$2:$F$998&gt;=$B50),0),0)) &amp; " - " &amp; INDEX(TRANSAKSI_LOG!$H$2:$H$998,MATCH(1,INDEX((TRANSAKSI_LOG!$C$2:$C$998=$C$5)*(TRANSAKSI_LOG!$J$2:$J$998=G$7)*(TRANSAKSI_LOG!$E$2:$E$998&lt;=$B50)*(TRANSAKSI_LOG!$F$2:$F$998&gt;=$B50),0),0)),"")</f>
        <v/>
      </c>
      <c r="H50" s="66" t="str">
        <f t="array" ref="H50">IFERROR(INDEX(TRANSAKSI_LOG!$M$2:$M$998,MATCH(1,INDEX((TRANSAKSI_LOG!$C$2:$C$998=$C$5)*(TRANSAKSI_LOG!$J$2:$J$998=H$7)*(TRANSAKSI_LOG!$E$2:$E$998&lt;=$B50)*(TRANSAKSI_LOG!$F$2:$F$998&gt;=$B50),0),0)) &amp; " - " &amp; INDEX(TRANSAKSI_LOG!$H$2:$H$998,MATCH(1,INDEX((TRANSAKSI_LOG!$C$2:$C$998=$C$5)*(TRANSAKSI_LOG!$J$2:$J$998=H$7)*(TRANSAKSI_LOG!$E$2:$E$998&lt;=$B50)*(TRANSAKSI_LOG!$F$2:$F$998&gt;=$B50),0),0)),"")</f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13">
        <v>0.4826388888888889</v>
      </c>
      <c r="C51" s="66" t="str">
        <f t="array" ref="C51">IFERROR(INDEX(TRANSAKSI_LOG!$M$2:$M$998,MATCH(1,INDEX((TRANSAKSI_LOG!$C$2:$C$998=$C$5)*(TRANSAKSI_LOG!$J$2:$J$998=C$7)*(TRANSAKSI_LOG!$E$2:$E$998&lt;=$B51)*(TRANSAKSI_LOG!$F$2:$F$998&gt;=$B51),0),0)) &amp; " - " &amp; INDEX(TRANSAKSI_LOG!$H$2:$H$998,MATCH(1,INDEX((TRANSAKSI_LOG!$C$2:$C$998=$C$5)*(TRANSAKSI_LOG!$J$2:$J$998=C$7)*(TRANSAKSI_LOG!$E$2:$E$998&lt;=$B51)*(TRANSAKSI_LOG!$F$2:$F$998&gt;=$B51),0),0)),"")</f>
        <v/>
      </c>
      <c r="D51" s="66" t="str">
        <f t="array" ref="D51">IFERROR(INDEX(TRANSAKSI_LOG!$M$2:$M$998,MATCH(1,INDEX((TRANSAKSI_LOG!$C$2:$C$998=$C$5)*(TRANSAKSI_LOG!$J$2:$J$998=D$7)*(TRANSAKSI_LOG!$E$2:$E$998&lt;=$B51)*(TRANSAKSI_LOG!$F$2:$F$998&gt;=$B51),0),0)) &amp; " - " &amp; INDEX(TRANSAKSI_LOG!$H$2:$H$998,MATCH(1,INDEX((TRANSAKSI_LOG!$C$2:$C$998=$C$5)*(TRANSAKSI_LOG!$J$2:$J$998=D$7)*(TRANSAKSI_LOG!$E$2:$E$998&lt;=$B51)*(TRANSAKSI_LOG!$F$2:$F$998&gt;=$B51),0),0)),"")</f>
        <v/>
      </c>
      <c r="E51" s="66" t="str">
        <f t="array" ref="E51">IFERROR(INDEX(TRANSAKSI_LOG!$M$2:$M$998,MATCH(1,INDEX((TRANSAKSI_LOG!$C$2:$C$998=$C$5)*(TRANSAKSI_LOG!$J$2:$J$998=E$7)*(TRANSAKSI_LOG!$E$2:$E$998&lt;=$B51)*(TRANSAKSI_LOG!$F$2:$F$998&gt;=$B51),0),0)) &amp; " - " &amp; INDEX(TRANSAKSI_LOG!$H$2:$H$998,MATCH(1,INDEX((TRANSAKSI_LOG!$C$2:$C$998=$C$5)*(TRANSAKSI_LOG!$J$2:$J$998=E$7)*(TRANSAKSI_LOG!$E$2:$E$998&lt;=$B51)*(TRANSAKSI_LOG!$F$2:$F$998&gt;=$B51),0),0)),"")</f>
        <v/>
      </c>
      <c r="F51" s="66" t="str">
        <f t="array" ref="F51">IFERROR(INDEX(TRANSAKSI_LOG!$M$2:$M$998,MATCH(1,INDEX((TRANSAKSI_LOG!$C$2:$C$998=$C$5)*(TRANSAKSI_LOG!$J$2:$J$998=F$7)*(TRANSAKSI_LOG!$E$2:$E$998&lt;=$B51)*(TRANSAKSI_LOG!$F$2:$F$998&gt;=$B51),0),0)) &amp; " - " &amp; INDEX(TRANSAKSI_LOG!$H$2:$H$998,MATCH(1,INDEX((TRANSAKSI_LOG!$C$2:$C$998=$C$5)*(TRANSAKSI_LOG!$J$2:$J$998=F$7)*(TRANSAKSI_LOG!$E$2:$E$998&lt;=$B51)*(TRANSAKSI_LOG!$F$2:$F$998&gt;=$B51),0),0)),"")</f>
        <v/>
      </c>
      <c r="G51" s="66" t="str">
        <f t="array" ref="G51">IFERROR(INDEX(TRANSAKSI_LOG!$M$2:$M$998,MATCH(1,INDEX((TRANSAKSI_LOG!$C$2:$C$998=$C$5)*(TRANSAKSI_LOG!$J$2:$J$998=G$7)*(TRANSAKSI_LOG!$E$2:$E$998&lt;=$B51)*(TRANSAKSI_LOG!$F$2:$F$998&gt;=$B51),0),0)) &amp; " - " &amp; INDEX(TRANSAKSI_LOG!$H$2:$H$998,MATCH(1,INDEX((TRANSAKSI_LOG!$C$2:$C$998=$C$5)*(TRANSAKSI_LOG!$J$2:$J$998=G$7)*(TRANSAKSI_LOG!$E$2:$E$998&lt;=$B51)*(TRANSAKSI_LOG!$F$2:$F$998&gt;=$B51),0),0)),"")</f>
        <v/>
      </c>
      <c r="H51" s="66" t="str">
        <f t="array" ref="H51">IFERROR(INDEX(TRANSAKSI_LOG!$M$2:$M$998,MATCH(1,INDEX((TRANSAKSI_LOG!$C$2:$C$998=$C$5)*(TRANSAKSI_LOG!$J$2:$J$998=H$7)*(TRANSAKSI_LOG!$E$2:$E$998&lt;=$B51)*(TRANSAKSI_LOG!$F$2:$F$998&gt;=$B51),0),0)) &amp; " - " &amp; INDEX(TRANSAKSI_LOG!$H$2:$H$998,MATCH(1,INDEX((TRANSAKSI_LOG!$C$2:$C$998=$C$5)*(TRANSAKSI_LOG!$J$2:$J$998=H$7)*(TRANSAKSI_LOG!$E$2:$E$998&lt;=$B51)*(TRANSAKSI_LOG!$F$2:$F$998&gt;=$B51),0),0)),"")</f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13">
        <v>0.4861111111111111</v>
      </c>
      <c r="C52" s="66" t="str">
        <f t="array" ref="C52">IFERROR(INDEX(TRANSAKSI_LOG!$M$2:$M$998,MATCH(1,INDEX((TRANSAKSI_LOG!$C$2:$C$998=$C$5)*(TRANSAKSI_LOG!$J$2:$J$998=C$7)*(TRANSAKSI_LOG!$E$2:$E$998&lt;=$B52)*(TRANSAKSI_LOG!$F$2:$F$998&gt;=$B52),0),0)) &amp; " - " &amp; INDEX(TRANSAKSI_LOG!$H$2:$H$998,MATCH(1,INDEX((TRANSAKSI_LOG!$C$2:$C$998=$C$5)*(TRANSAKSI_LOG!$J$2:$J$998=C$7)*(TRANSAKSI_LOG!$E$2:$E$998&lt;=$B52)*(TRANSAKSI_LOG!$F$2:$F$998&gt;=$B52),0),0)),"")</f>
        <v/>
      </c>
      <c r="D52" s="66" t="str">
        <f t="array" ref="D52">IFERROR(INDEX(TRANSAKSI_LOG!$M$2:$M$998,MATCH(1,INDEX((TRANSAKSI_LOG!$C$2:$C$998=$C$5)*(TRANSAKSI_LOG!$J$2:$J$998=D$7)*(TRANSAKSI_LOG!$E$2:$E$998&lt;=$B52)*(TRANSAKSI_LOG!$F$2:$F$998&gt;=$B52),0),0)) &amp; " - " &amp; INDEX(TRANSAKSI_LOG!$H$2:$H$998,MATCH(1,INDEX((TRANSAKSI_LOG!$C$2:$C$998=$C$5)*(TRANSAKSI_LOG!$J$2:$J$998=D$7)*(TRANSAKSI_LOG!$E$2:$E$998&lt;=$B52)*(TRANSAKSI_LOG!$F$2:$F$998&gt;=$B52),0),0)),"")</f>
        <v/>
      </c>
      <c r="E52" s="66" t="str">
        <f t="array" ref="E52">IFERROR(INDEX(TRANSAKSI_LOG!$M$2:$M$998,MATCH(1,INDEX((TRANSAKSI_LOG!$C$2:$C$998=$C$5)*(TRANSAKSI_LOG!$J$2:$J$998=E$7)*(TRANSAKSI_LOG!$E$2:$E$998&lt;=$B52)*(TRANSAKSI_LOG!$F$2:$F$998&gt;=$B52),0),0)) &amp; " - " &amp; INDEX(TRANSAKSI_LOG!$H$2:$H$998,MATCH(1,INDEX((TRANSAKSI_LOG!$C$2:$C$998=$C$5)*(TRANSAKSI_LOG!$J$2:$J$998=E$7)*(TRANSAKSI_LOG!$E$2:$E$998&lt;=$B52)*(TRANSAKSI_LOG!$F$2:$F$998&gt;=$B52),0),0)),"")</f>
        <v/>
      </c>
      <c r="F52" s="66" t="str">
        <f t="array" ref="F52">IFERROR(INDEX(TRANSAKSI_LOG!$M$2:$M$998,MATCH(1,INDEX((TRANSAKSI_LOG!$C$2:$C$998=$C$5)*(TRANSAKSI_LOG!$J$2:$J$998=F$7)*(TRANSAKSI_LOG!$E$2:$E$998&lt;=$B52)*(TRANSAKSI_LOG!$F$2:$F$998&gt;=$B52),0),0)) &amp; " - " &amp; INDEX(TRANSAKSI_LOG!$H$2:$H$998,MATCH(1,INDEX((TRANSAKSI_LOG!$C$2:$C$998=$C$5)*(TRANSAKSI_LOG!$J$2:$J$998=F$7)*(TRANSAKSI_LOG!$E$2:$E$998&lt;=$B52)*(TRANSAKSI_LOG!$F$2:$F$998&gt;=$B52),0),0)),"")</f>
        <v/>
      </c>
      <c r="G52" s="66" t="str">
        <f t="array" ref="G52">IFERROR(INDEX(TRANSAKSI_LOG!$M$2:$M$998,MATCH(1,INDEX((TRANSAKSI_LOG!$C$2:$C$998=$C$5)*(TRANSAKSI_LOG!$J$2:$J$998=G$7)*(TRANSAKSI_LOG!$E$2:$E$998&lt;=$B52)*(TRANSAKSI_LOG!$F$2:$F$998&gt;=$B52),0),0)) &amp; " - " &amp; INDEX(TRANSAKSI_LOG!$H$2:$H$998,MATCH(1,INDEX((TRANSAKSI_LOG!$C$2:$C$998=$C$5)*(TRANSAKSI_LOG!$J$2:$J$998=G$7)*(TRANSAKSI_LOG!$E$2:$E$998&lt;=$B52)*(TRANSAKSI_LOG!$F$2:$F$998&gt;=$B52),0),0)),"")</f>
        <v/>
      </c>
      <c r="H52" s="66" t="str">
        <f t="array" ref="H52">IFERROR(INDEX(TRANSAKSI_LOG!$M$2:$M$998,MATCH(1,INDEX((TRANSAKSI_LOG!$C$2:$C$998=$C$5)*(TRANSAKSI_LOG!$J$2:$J$998=H$7)*(TRANSAKSI_LOG!$E$2:$E$998&lt;=$B52)*(TRANSAKSI_LOG!$F$2:$F$998&gt;=$B52),0),0)) &amp; " - " &amp; INDEX(TRANSAKSI_LOG!$H$2:$H$998,MATCH(1,INDEX((TRANSAKSI_LOG!$C$2:$C$998=$C$5)*(TRANSAKSI_LOG!$J$2:$J$998=H$7)*(TRANSAKSI_LOG!$E$2:$E$998&lt;=$B52)*(TRANSAKSI_LOG!$F$2:$F$998&gt;=$B52),0),0)),"")</f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13">
        <v>0.4895833333333333</v>
      </c>
      <c r="C53" s="66" t="str">
        <f t="array" ref="C53">IFERROR(INDEX(TRANSAKSI_LOG!$M$2:$M$998,MATCH(1,INDEX((TRANSAKSI_LOG!$C$2:$C$998=$C$5)*(TRANSAKSI_LOG!$J$2:$J$998=C$7)*(TRANSAKSI_LOG!$E$2:$E$998&lt;=$B53)*(TRANSAKSI_LOG!$F$2:$F$998&gt;=$B53),0),0)) &amp; " - " &amp; INDEX(TRANSAKSI_LOG!$H$2:$H$998,MATCH(1,INDEX((TRANSAKSI_LOG!$C$2:$C$998=$C$5)*(TRANSAKSI_LOG!$J$2:$J$998=C$7)*(TRANSAKSI_LOG!$E$2:$E$998&lt;=$B53)*(TRANSAKSI_LOG!$F$2:$F$998&gt;=$B53),0),0)),"")</f>
        <v/>
      </c>
      <c r="D53" s="66" t="str">
        <f t="array" ref="D53">IFERROR(INDEX(TRANSAKSI_LOG!$M$2:$M$998,MATCH(1,INDEX((TRANSAKSI_LOG!$C$2:$C$998=$C$5)*(TRANSAKSI_LOG!$J$2:$J$998=D$7)*(TRANSAKSI_LOG!$E$2:$E$998&lt;=$B53)*(TRANSAKSI_LOG!$F$2:$F$998&gt;=$B53),0),0)) &amp; " - " &amp; INDEX(TRANSAKSI_LOG!$H$2:$H$998,MATCH(1,INDEX((TRANSAKSI_LOG!$C$2:$C$998=$C$5)*(TRANSAKSI_LOG!$J$2:$J$998=D$7)*(TRANSAKSI_LOG!$E$2:$E$998&lt;=$B53)*(TRANSAKSI_LOG!$F$2:$F$998&gt;=$B53),0),0)),"")</f>
        <v/>
      </c>
      <c r="E53" s="66" t="str">
        <f t="array" ref="E53">IFERROR(INDEX(TRANSAKSI_LOG!$M$2:$M$998,MATCH(1,INDEX((TRANSAKSI_LOG!$C$2:$C$998=$C$5)*(TRANSAKSI_LOG!$J$2:$J$998=E$7)*(TRANSAKSI_LOG!$E$2:$E$998&lt;=$B53)*(TRANSAKSI_LOG!$F$2:$F$998&gt;=$B53),0),0)) &amp; " - " &amp; INDEX(TRANSAKSI_LOG!$H$2:$H$998,MATCH(1,INDEX((TRANSAKSI_LOG!$C$2:$C$998=$C$5)*(TRANSAKSI_LOG!$J$2:$J$998=E$7)*(TRANSAKSI_LOG!$E$2:$E$998&lt;=$B53)*(TRANSAKSI_LOG!$F$2:$F$998&gt;=$B53),0),0)),"")</f>
        <v/>
      </c>
      <c r="F53" s="66" t="str">
        <f t="array" ref="F53">IFERROR(INDEX(TRANSAKSI_LOG!$M$2:$M$998,MATCH(1,INDEX((TRANSAKSI_LOG!$C$2:$C$998=$C$5)*(TRANSAKSI_LOG!$J$2:$J$998=F$7)*(TRANSAKSI_LOG!$E$2:$E$998&lt;=$B53)*(TRANSAKSI_LOG!$F$2:$F$998&gt;=$B53),0),0)) &amp; " - " &amp; INDEX(TRANSAKSI_LOG!$H$2:$H$998,MATCH(1,INDEX((TRANSAKSI_LOG!$C$2:$C$998=$C$5)*(TRANSAKSI_LOG!$J$2:$J$998=F$7)*(TRANSAKSI_LOG!$E$2:$E$998&lt;=$B53)*(TRANSAKSI_LOG!$F$2:$F$998&gt;=$B53),0),0)),"")</f>
        <v/>
      </c>
      <c r="G53" s="66" t="str">
        <f t="array" ref="G53">IFERROR(INDEX(TRANSAKSI_LOG!$M$2:$M$998,MATCH(1,INDEX((TRANSAKSI_LOG!$C$2:$C$998=$C$5)*(TRANSAKSI_LOG!$J$2:$J$998=G$7)*(TRANSAKSI_LOG!$E$2:$E$998&lt;=$B53)*(TRANSAKSI_LOG!$F$2:$F$998&gt;=$B53),0),0)) &amp; " - " &amp; INDEX(TRANSAKSI_LOG!$H$2:$H$998,MATCH(1,INDEX((TRANSAKSI_LOG!$C$2:$C$998=$C$5)*(TRANSAKSI_LOG!$J$2:$J$998=G$7)*(TRANSAKSI_LOG!$E$2:$E$998&lt;=$B53)*(TRANSAKSI_LOG!$F$2:$F$998&gt;=$B53),0),0)),"")</f>
        <v/>
      </c>
      <c r="H53" s="66" t="str">
        <f t="array" ref="H53">IFERROR(INDEX(TRANSAKSI_LOG!$M$2:$M$998,MATCH(1,INDEX((TRANSAKSI_LOG!$C$2:$C$998=$C$5)*(TRANSAKSI_LOG!$J$2:$J$998=H$7)*(TRANSAKSI_LOG!$E$2:$E$998&lt;=$B53)*(TRANSAKSI_LOG!$F$2:$F$998&gt;=$B53),0),0)) &amp; " - " &amp; INDEX(TRANSAKSI_LOG!$H$2:$H$998,MATCH(1,INDEX((TRANSAKSI_LOG!$C$2:$C$998=$C$5)*(TRANSAKSI_LOG!$J$2:$J$998=H$7)*(TRANSAKSI_LOG!$E$2:$E$998&lt;=$B53)*(TRANSAKSI_LOG!$F$2:$F$998&gt;=$B53),0),0)),"")</f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13">
        <v>0.4930555555555556</v>
      </c>
      <c r="C54" s="66" t="str">
        <f t="array" ref="C54">IFERROR(INDEX(TRANSAKSI_LOG!$M$2:$M$998,MATCH(1,INDEX((TRANSAKSI_LOG!$C$2:$C$998=$C$5)*(TRANSAKSI_LOG!$J$2:$J$998=C$7)*(TRANSAKSI_LOG!$E$2:$E$998&lt;=$B54)*(TRANSAKSI_LOG!$F$2:$F$998&gt;=$B54),0),0)) &amp; " - " &amp; INDEX(TRANSAKSI_LOG!$H$2:$H$998,MATCH(1,INDEX((TRANSAKSI_LOG!$C$2:$C$998=$C$5)*(TRANSAKSI_LOG!$J$2:$J$998=C$7)*(TRANSAKSI_LOG!$E$2:$E$998&lt;=$B54)*(TRANSAKSI_LOG!$F$2:$F$998&gt;=$B54),0),0)),"")</f>
        <v/>
      </c>
      <c r="D54" s="66" t="str">
        <f t="array" ref="D54">IFERROR(INDEX(TRANSAKSI_LOG!$M$2:$M$998,MATCH(1,INDEX((TRANSAKSI_LOG!$C$2:$C$998=$C$5)*(TRANSAKSI_LOG!$J$2:$J$998=D$7)*(TRANSAKSI_LOG!$E$2:$E$998&lt;=$B54)*(TRANSAKSI_LOG!$F$2:$F$998&gt;=$B54),0),0)) &amp; " - " &amp; INDEX(TRANSAKSI_LOG!$H$2:$H$998,MATCH(1,INDEX((TRANSAKSI_LOG!$C$2:$C$998=$C$5)*(TRANSAKSI_LOG!$J$2:$J$998=D$7)*(TRANSAKSI_LOG!$E$2:$E$998&lt;=$B54)*(TRANSAKSI_LOG!$F$2:$F$998&gt;=$B54),0),0)),"")</f>
        <v/>
      </c>
      <c r="E54" s="66" t="str">
        <f t="array" ref="E54">IFERROR(INDEX(TRANSAKSI_LOG!$M$2:$M$998,MATCH(1,INDEX((TRANSAKSI_LOG!$C$2:$C$998=$C$5)*(TRANSAKSI_LOG!$J$2:$J$998=E$7)*(TRANSAKSI_LOG!$E$2:$E$998&lt;=$B54)*(TRANSAKSI_LOG!$F$2:$F$998&gt;=$B54),0),0)) &amp; " - " &amp; INDEX(TRANSAKSI_LOG!$H$2:$H$998,MATCH(1,INDEX((TRANSAKSI_LOG!$C$2:$C$998=$C$5)*(TRANSAKSI_LOG!$J$2:$J$998=E$7)*(TRANSAKSI_LOG!$E$2:$E$998&lt;=$B54)*(TRANSAKSI_LOG!$F$2:$F$998&gt;=$B54),0),0)),"")</f>
        <v/>
      </c>
      <c r="F54" s="66" t="str">
        <f t="array" ref="F54">IFERROR(INDEX(TRANSAKSI_LOG!$M$2:$M$998,MATCH(1,INDEX((TRANSAKSI_LOG!$C$2:$C$998=$C$5)*(TRANSAKSI_LOG!$J$2:$J$998=F$7)*(TRANSAKSI_LOG!$E$2:$E$998&lt;=$B54)*(TRANSAKSI_LOG!$F$2:$F$998&gt;=$B54),0),0)) &amp; " - " &amp; INDEX(TRANSAKSI_LOG!$H$2:$H$998,MATCH(1,INDEX((TRANSAKSI_LOG!$C$2:$C$998=$C$5)*(TRANSAKSI_LOG!$J$2:$J$998=F$7)*(TRANSAKSI_LOG!$E$2:$E$998&lt;=$B54)*(TRANSAKSI_LOG!$F$2:$F$998&gt;=$B54),0),0)),"")</f>
        <v/>
      </c>
      <c r="G54" s="66" t="str">
        <f t="array" ref="G54">IFERROR(INDEX(TRANSAKSI_LOG!$M$2:$M$998,MATCH(1,INDEX((TRANSAKSI_LOG!$C$2:$C$998=$C$5)*(TRANSAKSI_LOG!$J$2:$J$998=G$7)*(TRANSAKSI_LOG!$E$2:$E$998&lt;=$B54)*(TRANSAKSI_LOG!$F$2:$F$998&gt;=$B54),0),0)) &amp; " - " &amp; INDEX(TRANSAKSI_LOG!$H$2:$H$998,MATCH(1,INDEX((TRANSAKSI_LOG!$C$2:$C$998=$C$5)*(TRANSAKSI_LOG!$J$2:$J$998=G$7)*(TRANSAKSI_LOG!$E$2:$E$998&lt;=$B54)*(TRANSAKSI_LOG!$F$2:$F$998&gt;=$B54),0),0)),"")</f>
        <v/>
      </c>
      <c r="H54" s="66" t="str">
        <f t="array" ref="H54">IFERROR(INDEX(TRANSAKSI_LOG!$M$2:$M$998,MATCH(1,INDEX((TRANSAKSI_LOG!$C$2:$C$998=$C$5)*(TRANSAKSI_LOG!$J$2:$J$998=H$7)*(TRANSAKSI_LOG!$E$2:$E$998&lt;=$B54)*(TRANSAKSI_LOG!$F$2:$F$998&gt;=$B54),0),0)) &amp; " - " &amp; INDEX(TRANSAKSI_LOG!$H$2:$H$998,MATCH(1,INDEX((TRANSAKSI_LOG!$C$2:$C$998=$C$5)*(TRANSAKSI_LOG!$J$2:$J$998=H$7)*(TRANSAKSI_LOG!$E$2:$E$998&lt;=$B54)*(TRANSAKSI_LOG!$F$2:$F$998&gt;=$B54),0),0)),"")</f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13">
        <v>0.4965277777777778</v>
      </c>
      <c r="C55" s="66" t="str">
        <f t="array" ref="C55">IFERROR(INDEX(TRANSAKSI_LOG!$M$2:$M$998,MATCH(1,INDEX((TRANSAKSI_LOG!$C$2:$C$998=$C$5)*(TRANSAKSI_LOG!$J$2:$J$998=C$7)*(TRANSAKSI_LOG!$E$2:$E$998&lt;=$B55)*(TRANSAKSI_LOG!$F$2:$F$998&gt;=$B55),0),0)) &amp; " - " &amp; INDEX(TRANSAKSI_LOG!$H$2:$H$998,MATCH(1,INDEX((TRANSAKSI_LOG!$C$2:$C$998=$C$5)*(TRANSAKSI_LOG!$J$2:$J$998=C$7)*(TRANSAKSI_LOG!$E$2:$E$998&lt;=$B55)*(TRANSAKSI_LOG!$F$2:$F$998&gt;=$B55),0),0)),"")</f>
        <v/>
      </c>
      <c r="D55" s="66" t="str">
        <f t="array" ref="D55">IFERROR(INDEX(TRANSAKSI_LOG!$M$2:$M$998,MATCH(1,INDEX((TRANSAKSI_LOG!$C$2:$C$998=$C$5)*(TRANSAKSI_LOG!$J$2:$J$998=D$7)*(TRANSAKSI_LOG!$E$2:$E$998&lt;=$B55)*(TRANSAKSI_LOG!$F$2:$F$998&gt;=$B55),0),0)) &amp; " - " &amp; INDEX(TRANSAKSI_LOG!$H$2:$H$998,MATCH(1,INDEX((TRANSAKSI_LOG!$C$2:$C$998=$C$5)*(TRANSAKSI_LOG!$J$2:$J$998=D$7)*(TRANSAKSI_LOG!$E$2:$E$998&lt;=$B55)*(TRANSAKSI_LOG!$F$2:$F$998&gt;=$B55),0),0)),"")</f>
        <v/>
      </c>
      <c r="E55" s="66" t="str">
        <f t="array" ref="E55">IFERROR(INDEX(TRANSAKSI_LOG!$M$2:$M$998,MATCH(1,INDEX((TRANSAKSI_LOG!$C$2:$C$998=$C$5)*(TRANSAKSI_LOG!$J$2:$J$998=E$7)*(TRANSAKSI_LOG!$E$2:$E$998&lt;=$B55)*(TRANSAKSI_LOG!$F$2:$F$998&gt;=$B55),0),0)) &amp; " - " &amp; INDEX(TRANSAKSI_LOG!$H$2:$H$998,MATCH(1,INDEX((TRANSAKSI_LOG!$C$2:$C$998=$C$5)*(TRANSAKSI_LOG!$J$2:$J$998=E$7)*(TRANSAKSI_LOG!$E$2:$E$998&lt;=$B55)*(TRANSAKSI_LOG!$F$2:$F$998&gt;=$B55),0),0)),"")</f>
        <v/>
      </c>
      <c r="F55" s="66" t="str">
        <f t="array" ref="F55">IFERROR(INDEX(TRANSAKSI_LOG!$M$2:$M$998,MATCH(1,INDEX((TRANSAKSI_LOG!$C$2:$C$998=$C$5)*(TRANSAKSI_LOG!$J$2:$J$998=F$7)*(TRANSAKSI_LOG!$E$2:$E$998&lt;=$B55)*(TRANSAKSI_LOG!$F$2:$F$998&gt;=$B55),0),0)) &amp; " - " &amp; INDEX(TRANSAKSI_LOG!$H$2:$H$998,MATCH(1,INDEX((TRANSAKSI_LOG!$C$2:$C$998=$C$5)*(TRANSAKSI_LOG!$J$2:$J$998=F$7)*(TRANSAKSI_LOG!$E$2:$E$998&lt;=$B55)*(TRANSAKSI_LOG!$F$2:$F$998&gt;=$B55),0),0)),"")</f>
        <v/>
      </c>
      <c r="G55" s="66" t="str">
        <f t="array" ref="G55">IFERROR(INDEX(TRANSAKSI_LOG!$M$2:$M$998,MATCH(1,INDEX((TRANSAKSI_LOG!$C$2:$C$998=$C$5)*(TRANSAKSI_LOG!$J$2:$J$998=G$7)*(TRANSAKSI_LOG!$E$2:$E$998&lt;=$B55)*(TRANSAKSI_LOG!$F$2:$F$998&gt;=$B55),0),0)) &amp; " - " &amp; INDEX(TRANSAKSI_LOG!$H$2:$H$998,MATCH(1,INDEX((TRANSAKSI_LOG!$C$2:$C$998=$C$5)*(TRANSAKSI_LOG!$J$2:$J$998=G$7)*(TRANSAKSI_LOG!$E$2:$E$998&lt;=$B55)*(TRANSAKSI_LOG!$F$2:$F$998&gt;=$B55),0),0)),"")</f>
        <v/>
      </c>
      <c r="H55" s="66" t="str">
        <f t="array" ref="H55">IFERROR(INDEX(TRANSAKSI_LOG!$M$2:$M$998,MATCH(1,INDEX((TRANSAKSI_LOG!$C$2:$C$998=$C$5)*(TRANSAKSI_LOG!$J$2:$J$998=H$7)*(TRANSAKSI_LOG!$E$2:$E$998&lt;=$B55)*(TRANSAKSI_LOG!$F$2:$F$998&gt;=$B55),0),0)) &amp; " - " &amp; INDEX(TRANSAKSI_LOG!$H$2:$H$998,MATCH(1,INDEX((TRANSAKSI_LOG!$C$2:$C$998=$C$5)*(TRANSAKSI_LOG!$J$2:$J$998=H$7)*(TRANSAKSI_LOG!$E$2:$E$998&lt;=$B55)*(TRANSAKSI_LOG!$F$2:$F$998&gt;=$B55),0),0)),"")</f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13">
        <v>0.5</v>
      </c>
      <c r="C56" s="66" t="str">
        <f t="array" ref="C56">IFERROR(INDEX(TRANSAKSI_LOG!$M$2:$M$998,MATCH(1,INDEX((TRANSAKSI_LOG!$C$2:$C$998=$C$5)*(TRANSAKSI_LOG!$J$2:$J$998=C$7)*(TRANSAKSI_LOG!$E$2:$E$998&lt;=$B56)*(TRANSAKSI_LOG!$F$2:$F$998&gt;=$B56),0),0)) &amp; " - " &amp; INDEX(TRANSAKSI_LOG!$H$2:$H$998,MATCH(1,INDEX((TRANSAKSI_LOG!$C$2:$C$998=$C$5)*(TRANSAKSI_LOG!$J$2:$J$998=C$7)*(TRANSAKSI_LOG!$E$2:$E$998&lt;=$B56)*(TRANSAKSI_LOG!$F$2:$F$998&gt;=$B56),0),0)),"")</f>
        <v/>
      </c>
      <c r="D56" s="66" t="str">
        <f t="array" ref="D56">IFERROR(INDEX(TRANSAKSI_LOG!$M$2:$M$998,MATCH(1,INDEX((TRANSAKSI_LOG!$C$2:$C$998=$C$5)*(TRANSAKSI_LOG!$J$2:$J$998=D$7)*(TRANSAKSI_LOG!$E$2:$E$998&lt;=$B56)*(TRANSAKSI_LOG!$F$2:$F$998&gt;=$B56),0),0)) &amp; " - " &amp; INDEX(TRANSAKSI_LOG!$H$2:$H$998,MATCH(1,INDEX((TRANSAKSI_LOG!$C$2:$C$998=$C$5)*(TRANSAKSI_LOG!$J$2:$J$998=D$7)*(TRANSAKSI_LOG!$E$2:$E$998&lt;=$B56)*(TRANSAKSI_LOG!$F$2:$F$998&gt;=$B56),0),0)),"")</f>
        <v/>
      </c>
      <c r="E56" s="66" t="str">
        <f t="array" ref="E56">IFERROR(INDEX(TRANSAKSI_LOG!$M$2:$M$998,MATCH(1,INDEX((TRANSAKSI_LOG!$C$2:$C$998=$C$5)*(TRANSAKSI_LOG!$J$2:$J$998=E$7)*(TRANSAKSI_LOG!$E$2:$E$998&lt;=$B56)*(TRANSAKSI_LOG!$F$2:$F$998&gt;=$B56),0),0)) &amp; " - " &amp; INDEX(TRANSAKSI_LOG!$H$2:$H$998,MATCH(1,INDEX((TRANSAKSI_LOG!$C$2:$C$998=$C$5)*(TRANSAKSI_LOG!$J$2:$J$998=E$7)*(TRANSAKSI_LOG!$E$2:$E$998&lt;=$B56)*(TRANSAKSI_LOG!$F$2:$F$998&gt;=$B56),0),0)),"")</f>
        <v/>
      </c>
      <c r="F56" s="66" t="str">
        <f t="array" ref="F56">IFERROR(INDEX(TRANSAKSI_LOG!$M$2:$M$998,MATCH(1,INDEX((TRANSAKSI_LOG!$C$2:$C$998=$C$5)*(TRANSAKSI_LOG!$J$2:$J$998=F$7)*(TRANSAKSI_LOG!$E$2:$E$998&lt;=$B56)*(TRANSAKSI_LOG!$F$2:$F$998&gt;=$B56),0),0)) &amp; " - " &amp; INDEX(TRANSAKSI_LOG!$H$2:$H$998,MATCH(1,INDEX((TRANSAKSI_LOG!$C$2:$C$998=$C$5)*(TRANSAKSI_LOG!$J$2:$J$998=F$7)*(TRANSAKSI_LOG!$E$2:$E$998&lt;=$B56)*(TRANSAKSI_LOG!$F$2:$F$998&gt;=$B56),0),0)),"")</f>
        <v/>
      </c>
      <c r="G56" s="66" t="str">
        <f t="array" ref="G56">IFERROR(INDEX(TRANSAKSI_LOG!$M$2:$M$998,MATCH(1,INDEX((TRANSAKSI_LOG!$C$2:$C$998=$C$5)*(TRANSAKSI_LOG!$J$2:$J$998=G$7)*(TRANSAKSI_LOG!$E$2:$E$998&lt;=$B56)*(TRANSAKSI_LOG!$F$2:$F$998&gt;=$B56),0),0)) &amp; " - " &amp; INDEX(TRANSAKSI_LOG!$H$2:$H$998,MATCH(1,INDEX((TRANSAKSI_LOG!$C$2:$C$998=$C$5)*(TRANSAKSI_LOG!$J$2:$J$998=G$7)*(TRANSAKSI_LOG!$E$2:$E$998&lt;=$B56)*(TRANSAKSI_LOG!$F$2:$F$998&gt;=$B56),0),0)),"")</f>
        <v/>
      </c>
      <c r="H56" s="66" t="str">
        <f t="array" ref="H56">IFERROR(INDEX(TRANSAKSI_LOG!$M$2:$M$998,MATCH(1,INDEX((TRANSAKSI_LOG!$C$2:$C$998=$C$5)*(TRANSAKSI_LOG!$J$2:$J$998=H$7)*(TRANSAKSI_LOG!$E$2:$E$998&lt;=$B56)*(TRANSAKSI_LOG!$F$2:$F$998&gt;=$B56),0),0)) &amp; " - " &amp; INDEX(TRANSAKSI_LOG!$H$2:$H$998,MATCH(1,INDEX((TRANSAKSI_LOG!$C$2:$C$998=$C$5)*(TRANSAKSI_LOG!$J$2:$J$998=H$7)*(TRANSAKSI_LOG!$E$2:$E$998&lt;=$B56)*(TRANSAKSI_LOG!$F$2:$F$998&gt;=$B56),0),0)),"")</f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13">
        <v>0.5034722222222222</v>
      </c>
      <c r="C57" s="66" t="str">
        <f t="array" ref="C57">IFERROR(INDEX(TRANSAKSI_LOG!$M$2:$M$998,MATCH(1,INDEX((TRANSAKSI_LOG!$C$2:$C$998=$C$5)*(TRANSAKSI_LOG!$J$2:$J$998=C$7)*(TRANSAKSI_LOG!$E$2:$E$998&lt;=$B57)*(TRANSAKSI_LOG!$F$2:$F$998&gt;=$B57),0),0)) &amp; " - " &amp; INDEX(TRANSAKSI_LOG!$H$2:$H$998,MATCH(1,INDEX((TRANSAKSI_LOG!$C$2:$C$998=$C$5)*(TRANSAKSI_LOG!$J$2:$J$998=C$7)*(TRANSAKSI_LOG!$E$2:$E$998&lt;=$B57)*(TRANSAKSI_LOG!$F$2:$F$998&gt;=$B57),0),0)),"")</f>
        <v/>
      </c>
      <c r="D57" s="66" t="str">
        <f t="array" ref="D57">IFERROR(INDEX(TRANSAKSI_LOG!$M$2:$M$998,MATCH(1,INDEX((TRANSAKSI_LOG!$C$2:$C$998=$C$5)*(TRANSAKSI_LOG!$J$2:$J$998=D$7)*(TRANSAKSI_LOG!$E$2:$E$998&lt;=$B57)*(TRANSAKSI_LOG!$F$2:$F$998&gt;=$B57),0),0)) &amp; " - " &amp; INDEX(TRANSAKSI_LOG!$H$2:$H$998,MATCH(1,INDEX((TRANSAKSI_LOG!$C$2:$C$998=$C$5)*(TRANSAKSI_LOG!$J$2:$J$998=D$7)*(TRANSAKSI_LOG!$E$2:$E$998&lt;=$B57)*(TRANSAKSI_LOG!$F$2:$F$998&gt;=$B57),0),0)),"")</f>
        <v/>
      </c>
      <c r="E57" s="66" t="str">
        <f t="array" ref="E57">IFERROR(INDEX(TRANSAKSI_LOG!$M$2:$M$998,MATCH(1,INDEX((TRANSAKSI_LOG!$C$2:$C$998=$C$5)*(TRANSAKSI_LOG!$J$2:$J$998=E$7)*(TRANSAKSI_LOG!$E$2:$E$998&lt;=$B57)*(TRANSAKSI_LOG!$F$2:$F$998&gt;=$B57),0),0)) &amp; " - " &amp; INDEX(TRANSAKSI_LOG!$H$2:$H$998,MATCH(1,INDEX((TRANSAKSI_LOG!$C$2:$C$998=$C$5)*(TRANSAKSI_LOG!$J$2:$J$998=E$7)*(TRANSAKSI_LOG!$E$2:$E$998&lt;=$B57)*(TRANSAKSI_LOG!$F$2:$F$998&gt;=$B57),0),0)),"")</f>
        <v/>
      </c>
      <c r="F57" s="66" t="str">
        <f t="array" ref="F57">IFERROR(INDEX(TRANSAKSI_LOG!$M$2:$M$998,MATCH(1,INDEX((TRANSAKSI_LOG!$C$2:$C$998=$C$5)*(TRANSAKSI_LOG!$J$2:$J$998=F$7)*(TRANSAKSI_LOG!$E$2:$E$998&lt;=$B57)*(TRANSAKSI_LOG!$F$2:$F$998&gt;=$B57),0),0)) &amp; " - " &amp; INDEX(TRANSAKSI_LOG!$H$2:$H$998,MATCH(1,INDEX((TRANSAKSI_LOG!$C$2:$C$998=$C$5)*(TRANSAKSI_LOG!$J$2:$J$998=F$7)*(TRANSAKSI_LOG!$E$2:$E$998&lt;=$B57)*(TRANSAKSI_LOG!$F$2:$F$998&gt;=$B57),0),0)),"")</f>
        <v/>
      </c>
      <c r="G57" s="66" t="str">
        <f t="array" ref="G57">IFERROR(INDEX(TRANSAKSI_LOG!$M$2:$M$998,MATCH(1,INDEX((TRANSAKSI_LOG!$C$2:$C$998=$C$5)*(TRANSAKSI_LOG!$J$2:$J$998=G$7)*(TRANSAKSI_LOG!$E$2:$E$998&lt;=$B57)*(TRANSAKSI_LOG!$F$2:$F$998&gt;=$B57),0),0)) &amp; " - " &amp; INDEX(TRANSAKSI_LOG!$H$2:$H$998,MATCH(1,INDEX((TRANSAKSI_LOG!$C$2:$C$998=$C$5)*(TRANSAKSI_LOG!$J$2:$J$998=G$7)*(TRANSAKSI_LOG!$E$2:$E$998&lt;=$B57)*(TRANSAKSI_LOG!$F$2:$F$998&gt;=$B57),0),0)),"")</f>
        <v/>
      </c>
      <c r="H57" s="66" t="str">
        <f t="array" ref="H57">IFERROR(INDEX(TRANSAKSI_LOG!$M$2:$M$998,MATCH(1,INDEX((TRANSAKSI_LOG!$C$2:$C$998=$C$5)*(TRANSAKSI_LOG!$J$2:$J$998=H$7)*(TRANSAKSI_LOG!$E$2:$E$998&lt;=$B57)*(TRANSAKSI_LOG!$F$2:$F$998&gt;=$B57),0),0)) &amp; " - " &amp; INDEX(TRANSAKSI_LOG!$H$2:$H$998,MATCH(1,INDEX((TRANSAKSI_LOG!$C$2:$C$998=$C$5)*(TRANSAKSI_LOG!$J$2:$J$998=H$7)*(TRANSAKSI_LOG!$E$2:$E$998&lt;=$B57)*(TRANSAKSI_LOG!$F$2:$F$998&gt;=$B57),0),0)),"")</f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13">
        <v>0.5069444444444444</v>
      </c>
      <c r="C58" s="66" t="str">
        <f t="array" ref="C58">IFERROR(INDEX(TRANSAKSI_LOG!$M$2:$M$998,MATCH(1,INDEX((TRANSAKSI_LOG!$C$2:$C$998=$C$5)*(TRANSAKSI_LOG!$J$2:$J$998=C$7)*(TRANSAKSI_LOG!$E$2:$E$998&lt;=$B58)*(TRANSAKSI_LOG!$F$2:$F$998&gt;=$B58),0),0)) &amp; " - " &amp; INDEX(TRANSAKSI_LOG!$H$2:$H$998,MATCH(1,INDEX((TRANSAKSI_LOG!$C$2:$C$998=$C$5)*(TRANSAKSI_LOG!$J$2:$J$998=C$7)*(TRANSAKSI_LOG!$E$2:$E$998&lt;=$B58)*(TRANSAKSI_LOG!$F$2:$F$998&gt;=$B58),0),0)),"")</f>
        <v/>
      </c>
      <c r="D58" s="66" t="str">
        <f t="array" ref="D58">IFERROR(INDEX(TRANSAKSI_LOG!$M$2:$M$998,MATCH(1,INDEX((TRANSAKSI_LOG!$C$2:$C$998=$C$5)*(TRANSAKSI_LOG!$J$2:$J$998=D$7)*(TRANSAKSI_LOG!$E$2:$E$998&lt;=$B58)*(TRANSAKSI_LOG!$F$2:$F$998&gt;=$B58),0),0)) &amp; " - " &amp; INDEX(TRANSAKSI_LOG!$H$2:$H$998,MATCH(1,INDEX((TRANSAKSI_LOG!$C$2:$C$998=$C$5)*(TRANSAKSI_LOG!$J$2:$J$998=D$7)*(TRANSAKSI_LOG!$E$2:$E$998&lt;=$B58)*(TRANSAKSI_LOG!$F$2:$F$998&gt;=$B58),0),0)),"")</f>
        <v/>
      </c>
      <c r="E58" s="66" t="str">
        <f t="array" ref="E58">IFERROR(INDEX(TRANSAKSI_LOG!$M$2:$M$998,MATCH(1,INDEX((TRANSAKSI_LOG!$C$2:$C$998=$C$5)*(TRANSAKSI_LOG!$J$2:$J$998=E$7)*(TRANSAKSI_LOG!$E$2:$E$998&lt;=$B58)*(TRANSAKSI_LOG!$F$2:$F$998&gt;=$B58),0),0)) &amp; " - " &amp; INDEX(TRANSAKSI_LOG!$H$2:$H$998,MATCH(1,INDEX((TRANSAKSI_LOG!$C$2:$C$998=$C$5)*(TRANSAKSI_LOG!$J$2:$J$998=E$7)*(TRANSAKSI_LOG!$E$2:$E$998&lt;=$B58)*(TRANSAKSI_LOG!$F$2:$F$998&gt;=$B58),0),0)),"")</f>
        <v/>
      </c>
      <c r="F58" s="66" t="str">
        <f t="array" ref="F58">IFERROR(INDEX(TRANSAKSI_LOG!$M$2:$M$998,MATCH(1,INDEX((TRANSAKSI_LOG!$C$2:$C$998=$C$5)*(TRANSAKSI_LOG!$J$2:$J$998=F$7)*(TRANSAKSI_LOG!$E$2:$E$998&lt;=$B58)*(TRANSAKSI_LOG!$F$2:$F$998&gt;=$B58),0),0)) &amp; " - " &amp; INDEX(TRANSAKSI_LOG!$H$2:$H$998,MATCH(1,INDEX((TRANSAKSI_LOG!$C$2:$C$998=$C$5)*(TRANSAKSI_LOG!$J$2:$J$998=F$7)*(TRANSAKSI_LOG!$E$2:$E$998&lt;=$B58)*(TRANSAKSI_LOG!$F$2:$F$998&gt;=$B58),0),0)),"")</f>
        <v/>
      </c>
      <c r="G58" s="66" t="str">
        <f t="array" ref="G58">IFERROR(INDEX(TRANSAKSI_LOG!$M$2:$M$998,MATCH(1,INDEX((TRANSAKSI_LOG!$C$2:$C$998=$C$5)*(TRANSAKSI_LOG!$J$2:$J$998=G$7)*(TRANSAKSI_LOG!$E$2:$E$998&lt;=$B58)*(TRANSAKSI_LOG!$F$2:$F$998&gt;=$B58),0),0)) &amp; " - " &amp; INDEX(TRANSAKSI_LOG!$H$2:$H$998,MATCH(1,INDEX((TRANSAKSI_LOG!$C$2:$C$998=$C$5)*(TRANSAKSI_LOG!$J$2:$J$998=G$7)*(TRANSAKSI_LOG!$E$2:$E$998&lt;=$B58)*(TRANSAKSI_LOG!$F$2:$F$998&gt;=$B58),0),0)),"")</f>
        <v/>
      </c>
      <c r="H58" s="66" t="str">
        <f t="array" ref="H58">IFERROR(INDEX(TRANSAKSI_LOG!$M$2:$M$998,MATCH(1,INDEX((TRANSAKSI_LOG!$C$2:$C$998=$C$5)*(TRANSAKSI_LOG!$J$2:$J$998=H$7)*(TRANSAKSI_LOG!$E$2:$E$998&lt;=$B58)*(TRANSAKSI_LOG!$F$2:$F$998&gt;=$B58),0),0)) &amp; " - " &amp; INDEX(TRANSAKSI_LOG!$H$2:$H$998,MATCH(1,INDEX((TRANSAKSI_LOG!$C$2:$C$998=$C$5)*(TRANSAKSI_LOG!$J$2:$J$998=H$7)*(TRANSAKSI_LOG!$E$2:$E$998&lt;=$B58)*(TRANSAKSI_LOG!$F$2:$F$998&gt;=$B58),0),0)),"")</f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13">
        <v>0.5104166666666666</v>
      </c>
      <c r="C59" s="66" t="str">
        <f t="array" ref="C59">IFERROR(INDEX(TRANSAKSI_LOG!$M$2:$M$998,MATCH(1,INDEX((TRANSAKSI_LOG!$C$2:$C$998=$C$5)*(TRANSAKSI_LOG!$J$2:$J$998=C$7)*(TRANSAKSI_LOG!$E$2:$E$998&lt;=$B59)*(TRANSAKSI_LOG!$F$2:$F$998&gt;=$B59),0),0)) &amp; " - " &amp; INDEX(TRANSAKSI_LOG!$H$2:$H$998,MATCH(1,INDEX((TRANSAKSI_LOG!$C$2:$C$998=$C$5)*(TRANSAKSI_LOG!$J$2:$J$998=C$7)*(TRANSAKSI_LOG!$E$2:$E$998&lt;=$B59)*(TRANSAKSI_LOG!$F$2:$F$998&gt;=$B59),0),0)),"")</f>
        <v/>
      </c>
      <c r="D59" s="66" t="str">
        <f t="array" ref="D59">IFERROR(INDEX(TRANSAKSI_LOG!$M$2:$M$998,MATCH(1,INDEX((TRANSAKSI_LOG!$C$2:$C$998=$C$5)*(TRANSAKSI_LOG!$J$2:$J$998=D$7)*(TRANSAKSI_LOG!$E$2:$E$998&lt;=$B59)*(TRANSAKSI_LOG!$F$2:$F$998&gt;=$B59),0),0)) &amp; " - " &amp; INDEX(TRANSAKSI_LOG!$H$2:$H$998,MATCH(1,INDEX((TRANSAKSI_LOG!$C$2:$C$998=$C$5)*(TRANSAKSI_LOG!$J$2:$J$998=D$7)*(TRANSAKSI_LOG!$E$2:$E$998&lt;=$B59)*(TRANSAKSI_LOG!$F$2:$F$998&gt;=$B59),0),0)),"")</f>
        <v/>
      </c>
      <c r="E59" s="66" t="str">
        <f t="array" ref="E59">IFERROR(INDEX(TRANSAKSI_LOG!$M$2:$M$998,MATCH(1,INDEX((TRANSAKSI_LOG!$C$2:$C$998=$C$5)*(TRANSAKSI_LOG!$J$2:$J$998=E$7)*(TRANSAKSI_LOG!$E$2:$E$998&lt;=$B59)*(TRANSAKSI_LOG!$F$2:$F$998&gt;=$B59),0),0)) &amp; " - " &amp; INDEX(TRANSAKSI_LOG!$H$2:$H$998,MATCH(1,INDEX((TRANSAKSI_LOG!$C$2:$C$998=$C$5)*(TRANSAKSI_LOG!$J$2:$J$998=E$7)*(TRANSAKSI_LOG!$E$2:$E$998&lt;=$B59)*(TRANSAKSI_LOG!$F$2:$F$998&gt;=$B59),0),0)),"")</f>
        <v/>
      </c>
      <c r="F59" s="66" t="str">
        <f t="array" ref="F59">IFERROR(INDEX(TRANSAKSI_LOG!$M$2:$M$998,MATCH(1,INDEX((TRANSAKSI_LOG!$C$2:$C$998=$C$5)*(TRANSAKSI_LOG!$J$2:$J$998=F$7)*(TRANSAKSI_LOG!$E$2:$E$998&lt;=$B59)*(TRANSAKSI_LOG!$F$2:$F$998&gt;=$B59),0),0)) &amp; " - " &amp; INDEX(TRANSAKSI_LOG!$H$2:$H$998,MATCH(1,INDEX((TRANSAKSI_LOG!$C$2:$C$998=$C$5)*(TRANSAKSI_LOG!$J$2:$J$998=F$7)*(TRANSAKSI_LOG!$E$2:$E$998&lt;=$B59)*(TRANSAKSI_LOG!$F$2:$F$998&gt;=$B59),0),0)),"")</f>
        <v/>
      </c>
      <c r="G59" s="66" t="str">
        <f t="array" ref="G59">IFERROR(INDEX(TRANSAKSI_LOG!$M$2:$M$998,MATCH(1,INDEX((TRANSAKSI_LOG!$C$2:$C$998=$C$5)*(TRANSAKSI_LOG!$J$2:$J$998=G$7)*(TRANSAKSI_LOG!$E$2:$E$998&lt;=$B59)*(TRANSAKSI_LOG!$F$2:$F$998&gt;=$B59),0),0)) &amp; " - " &amp; INDEX(TRANSAKSI_LOG!$H$2:$H$998,MATCH(1,INDEX((TRANSAKSI_LOG!$C$2:$C$998=$C$5)*(TRANSAKSI_LOG!$J$2:$J$998=G$7)*(TRANSAKSI_LOG!$E$2:$E$998&lt;=$B59)*(TRANSAKSI_LOG!$F$2:$F$998&gt;=$B59),0),0)),"")</f>
        <v/>
      </c>
      <c r="H59" s="66" t="str">
        <f t="array" ref="H59">IFERROR(INDEX(TRANSAKSI_LOG!$M$2:$M$998,MATCH(1,INDEX((TRANSAKSI_LOG!$C$2:$C$998=$C$5)*(TRANSAKSI_LOG!$J$2:$J$998=H$7)*(TRANSAKSI_LOG!$E$2:$E$998&lt;=$B59)*(TRANSAKSI_LOG!$F$2:$F$998&gt;=$B59),0),0)) &amp; " - " &amp; INDEX(TRANSAKSI_LOG!$H$2:$H$998,MATCH(1,INDEX((TRANSAKSI_LOG!$C$2:$C$998=$C$5)*(TRANSAKSI_LOG!$J$2:$J$998=H$7)*(TRANSAKSI_LOG!$E$2:$E$998&lt;=$B59)*(TRANSAKSI_LOG!$F$2:$F$998&gt;=$B59),0),0)),"")</f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13">
        <v>0.5138888888888888</v>
      </c>
      <c r="C60" s="66" t="str">
        <f t="array" ref="C60">IFERROR(INDEX(TRANSAKSI_LOG!$M$2:$M$998,MATCH(1,INDEX((TRANSAKSI_LOG!$C$2:$C$998=$C$5)*(TRANSAKSI_LOG!$J$2:$J$998=C$7)*(TRANSAKSI_LOG!$E$2:$E$998&lt;=$B60)*(TRANSAKSI_LOG!$F$2:$F$998&gt;=$B60),0),0)) &amp; " - " &amp; INDEX(TRANSAKSI_LOG!$H$2:$H$998,MATCH(1,INDEX((TRANSAKSI_LOG!$C$2:$C$998=$C$5)*(TRANSAKSI_LOG!$J$2:$J$998=C$7)*(TRANSAKSI_LOG!$E$2:$E$998&lt;=$B60)*(TRANSAKSI_LOG!$F$2:$F$998&gt;=$B60),0),0)),"")</f>
        <v/>
      </c>
      <c r="D60" s="66" t="str">
        <f t="array" ref="D60">IFERROR(INDEX(TRANSAKSI_LOG!$M$2:$M$998,MATCH(1,INDEX((TRANSAKSI_LOG!$C$2:$C$998=$C$5)*(TRANSAKSI_LOG!$J$2:$J$998=D$7)*(TRANSAKSI_LOG!$E$2:$E$998&lt;=$B60)*(TRANSAKSI_LOG!$F$2:$F$998&gt;=$B60),0),0)) &amp; " - " &amp; INDEX(TRANSAKSI_LOG!$H$2:$H$998,MATCH(1,INDEX((TRANSAKSI_LOG!$C$2:$C$998=$C$5)*(TRANSAKSI_LOG!$J$2:$J$998=D$7)*(TRANSAKSI_LOG!$E$2:$E$998&lt;=$B60)*(TRANSAKSI_LOG!$F$2:$F$998&gt;=$B60),0),0)),"")</f>
        <v/>
      </c>
      <c r="E60" s="66" t="str">
        <f t="array" ref="E60">IFERROR(INDEX(TRANSAKSI_LOG!$M$2:$M$998,MATCH(1,INDEX((TRANSAKSI_LOG!$C$2:$C$998=$C$5)*(TRANSAKSI_LOG!$J$2:$J$998=E$7)*(TRANSAKSI_LOG!$E$2:$E$998&lt;=$B60)*(TRANSAKSI_LOG!$F$2:$F$998&gt;=$B60),0),0)) &amp; " - " &amp; INDEX(TRANSAKSI_LOG!$H$2:$H$998,MATCH(1,INDEX((TRANSAKSI_LOG!$C$2:$C$998=$C$5)*(TRANSAKSI_LOG!$J$2:$J$998=E$7)*(TRANSAKSI_LOG!$E$2:$E$998&lt;=$B60)*(TRANSAKSI_LOG!$F$2:$F$998&gt;=$B60),0),0)),"")</f>
        <v/>
      </c>
      <c r="F60" s="66" t="str">
        <f t="array" ref="F60">IFERROR(INDEX(TRANSAKSI_LOG!$M$2:$M$998,MATCH(1,INDEX((TRANSAKSI_LOG!$C$2:$C$998=$C$5)*(TRANSAKSI_LOG!$J$2:$J$998=F$7)*(TRANSAKSI_LOG!$E$2:$E$998&lt;=$B60)*(TRANSAKSI_LOG!$F$2:$F$998&gt;=$B60),0),0)) &amp; " - " &amp; INDEX(TRANSAKSI_LOG!$H$2:$H$998,MATCH(1,INDEX((TRANSAKSI_LOG!$C$2:$C$998=$C$5)*(TRANSAKSI_LOG!$J$2:$J$998=F$7)*(TRANSAKSI_LOG!$E$2:$E$998&lt;=$B60)*(TRANSAKSI_LOG!$F$2:$F$998&gt;=$B60),0),0)),"")</f>
        <v/>
      </c>
      <c r="G60" s="66" t="str">
        <f t="array" ref="G60">IFERROR(INDEX(TRANSAKSI_LOG!$M$2:$M$998,MATCH(1,INDEX((TRANSAKSI_LOG!$C$2:$C$998=$C$5)*(TRANSAKSI_LOG!$J$2:$J$998=G$7)*(TRANSAKSI_LOG!$E$2:$E$998&lt;=$B60)*(TRANSAKSI_LOG!$F$2:$F$998&gt;=$B60),0),0)) &amp; " - " &amp; INDEX(TRANSAKSI_LOG!$H$2:$H$998,MATCH(1,INDEX((TRANSAKSI_LOG!$C$2:$C$998=$C$5)*(TRANSAKSI_LOG!$J$2:$J$998=G$7)*(TRANSAKSI_LOG!$E$2:$E$998&lt;=$B60)*(TRANSAKSI_LOG!$F$2:$F$998&gt;=$B60),0),0)),"")</f>
        <v/>
      </c>
      <c r="H60" s="66" t="str">
        <f t="array" ref="H60">IFERROR(INDEX(TRANSAKSI_LOG!$M$2:$M$998,MATCH(1,INDEX((TRANSAKSI_LOG!$C$2:$C$998=$C$5)*(TRANSAKSI_LOG!$J$2:$J$998=H$7)*(TRANSAKSI_LOG!$E$2:$E$998&lt;=$B60)*(TRANSAKSI_LOG!$F$2:$F$998&gt;=$B60),0),0)) &amp; " - " &amp; INDEX(TRANSAKSI_LOG!$H$2:$H$998,MATCH(1,INDEX((TRANSAKSI_LOG!$C$2:$C$998=$C$5)*(TRANSAKSI_LOG!$J$2:$J$998=H$7)*(TRANSAKSI_LOG!$E$2:$E$998&lt;=$B60)*(TRANSAKSI_LOG!$F$2:$F$998&gt;=$B60),0),0)),"")</f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13">
        <v>0.5173611111111112</v>
      </c>
      <c r="C61" s="66" t="str">
        <f t="array" ref="C61">IFERROR(INDEX(TRANSAKSI_LOG!$M$2:$M$998,MATCH(1,INDEX((TRANSAKSI_LOG!$C$2:$C$998=$C$5)*(TRANSAKSI_LOG!$J$2:$J$998=C$7)*(TRANSAKSI_LOG!$E$2:$E$998&lt;=$B61)*(TRANSAKSI_LOG!$F$2:$F$998&gt;=$B61),0),0)) &amp; " - " &amp; INDEX(TRANSAKSI_LOG!$H$2:$H$998,MATCH(1,INDEX((TRANSAKSI_LOG!$C$2:$C$998=$C$5)*(TRANSAKSI_LOG!$J$2:$J$998=C$7)*(TRANSAKSI_LOG!$E$2:$E$998&lt;=$B61)*(TRANSAKSI_LOG!$F$2:$F$998&gt;=$B61),0),0)),"")</f>
        <v/>
      </c>
      <c r="D61" s="66" t="str">
        <f t="array" ref="D61">IFERROR(INDEX(TRANSAKSI_LOG!$M$2:$M$998,MATCH(1,INDEX((TRANSAKSI_LOG!$C$2:$C$998=$C$5)*(TRANSAKSI_LOG!$J$2:$J$998=D$7)*(TRANSAKSI_LOG!$E$2:$E$998&lt;=$B61)*(TRANSAKSI_LOG!$F$2:$F$998&gt;=$B61),0),0)) &amp; " - " &amp; INDEX(TRANSAKSI_LOG!$H$2:$H$998,MATCH(1,INDEX((TRANSAKSI_LOG!$C$2:$C$998=$C$5)*(TRANSAKSI_LOG!$J$2:$J$998=D$7)*(TRANSAKSI_LOG!$E$2:$E$998&lt;=$B61)*(TRANSAKSI_LOG!$F$2:$F$998&gt;=$B61),0),0)),"")</f>
        <v/>
      </c>
      <c r="E61" s="66" t="str">
        <f t="array" ref="E61">IFERROR(INDEX(TRANSAKSI_LOG!$M$2:$M$998,MATCH(1,INDEX((TRANSAKSI_LOG!$C$2:$C$998=$C$5)*(TRANSAKSI_LOG!$J$2:$J$998=E$7)*(TRANSAKSI_LOG!$E$2:$E$998&lt;=$B61)*(TRANSAKSI_LOG!$F$2:$F$998&gt;=$B61),0),0)) &amp; " - " &amp; INDEX(TRANSAKSI_LOG!$H$2:$H$998,MATCH(1,INDEX((TRANSAKSI_LOG!$C$2:$C$998=$C$5)*(TRANSAKSI_LOG!$J$2:$J$998=E$7)*(TRANSAKSI_LOG!$E$2:$E$998&lt;=$B61)*(TRANSAKSI_LOG!$F$2:$F$998&gt;=$B61),0),0)),"")</f>
        <v/>
      </c>
      <c r="F61" s="66" t="str">
        <f t="array" ref="F61">IFERROR(INDEX(TRANSAKSI_LOG!$M$2:$M$998,MATCH(1,INDEX((TRANSAKSI_LOG!$C$2:$C$998=$C$5)*(TRANSAKSI_LOG!$J$2:$J$998=F$7)*(TRANSAKSI_LOG!$E$2:$E$998&lt;=$B61)*(TRANSAKSI_LOG!$F$2:$F$998&gt;=$B61),0),0)) &amp; " - " &amp; INDEX(TRANSAKSI_LOG!$H$2:$H$998,MATCH(1,INDEX((TRANSAKSI_LOG!$C$2:$C$998=$C$5)*(TRANSAKSI_LOG!$J$2:$J$998=F$7)*(TRANSAKSI_LOG!$E$2:$E$998&lt;=$B61)*(TRANSAKSI_LOG!$F$2:$F$998&gt;=$B61),0),0)),"")</f>
        <v/>
      </c>
      <c r="G61" s="66" t="str">
        <f t="array" ref="G61">IFERROR(INDEX(TRANSAKSI_LOG!$M$2:$M$998,MATCH(1,INDEX((TRANSAKSI_LOG!$C$2:$C$998=$C$5)*(TRANSAKSI_LOG!$J$2:$J$998=G$7)*(TRANSAKSI_LOG!$E$2:$E$998&lt;=$B61)*(TRANSAKSI_LOG!$F$2:$F$998&gt;=$B61),0),0)) &amp; " - " &amp; INDEX(TRANSAKSI_LOG!$H$2:$H$998,MATCH(1,INDEX((TRANSAKSI_LOG!$C$2:$C$998=$C$5)*(TRANSAKSI_LOG!$J$2:$J$998=G$7)*(TRANSAKSI_LOG!$E$2:$E$998&lt;=$B61)*(TRANSAKSI_LOG!$F$2:$F$998&gt;=$B61),0),0)),"")</f>
        <v/>
      </c>
      <c r="H61" s="66" t="str">
        <f t="array" ref="H61">IFERROR(INDEX(TRANSAKSI_LOG!$M$2:$M$998,MATCH(1,INDEX((TRANSAKSI_LOG!$C$2:$C$998=$C$5)*(TRANSAKSI_LOG!$J$2:$J$998=H$7)*(TRANSAKSI_LOG!$E$2:$E$998&lt;=$B61)*(TRANSAKSI_LOG!$F$2:$F$998&gt;=$B61),0),0)) &amp; " - " &amp; INDEX(TRANSAKSI_LOG!$H$2:$H$998,MATCH(1,INDEX((TRANSAKSI_LOG!$C$2:$C$998=$C$5)*(TRANSAKSI_LOG!$J$2:$J$998=H$7)*(TRANSAKSI_LOG!$E$2:$E$998&lt;=$B61)*(TRANSAKSI_LOG!$F$2:$F$998&gt;=$B61),0),0)),"")</f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13">
        <v>0.5208333333333334</v>
      </c>
      <c r="C62" s="66" t="str">
        <f t="array" ref="C62">IFERROR(INDEX(TRANSAKSI_LOG!$M$2:$M$998,MATCH(1,INDEX((TRANSAKSI_LOG!$C$2:$C$998=$C$5)*(TRANSAKSI_LOG!$J$2:$J$998=C$7)*(TRANSAKSI_LOG!$E$2:$E$998&lt;=$B62)*(TRANSAKSI_LOG!$F$2:$F$998&gt;=$B62),0),0)) &amp; " - " &amp; INDEX(TRANSAKSI_LOG!$H$2:$H$998,MATCH(1,INDEX((TRANSAKSI_LOG!$C$2:$C$998=$C$5)*(TRANSAKSI_LOG!$J$2:$J$998=C$7)*(TRANSAKSI_LOG!$E$2:$E$998&lt;=$B62)*(TRANSAKSI_LOG!$F$2:$F$998&gt;=$B62),0),0)),"")</f>
        <v/>
      </c>
      <c r="D62" s="66" t="str">
        <f t="array" ref="D62">IFERROR(INDEX(TRANSAKSI_LOG!$M$2:$M$998,MATCH(1,INDEX((TRANSAKSI_LOG!$C$2:$C$998=$C$5)*(TRANSAKSI_LOG!$J$2:$J$998=D$7)*(TRANSAKSI_LOG!$E$2:$E$998&lt;=$B62)*(TRANSAKSI_LOG!$F$2:$F$998&gt;=$B62),0),0)) &amp; " - " &amp; INDEX(TRANSAKSI_LOG!$H$2:$H$998,MATCH(1,INDEX((TRANSAKSI_LOG!$C$2:$C$998=$C$5)*(TRANSAKSI_LOG!$J$2:$J$998=D$7)*(TRANSAKSI_LOG!$E$2:$E$998&lt;=$B62)*(TRANSAKSI_LOG!$F$2:$F$998&gt;=$B62),0),0)),"")</f>
        <v/>
      </c>
      <c r="E62" s="66" t="str">
        <f t="array" ref="E62">IFERROR(INDEX(TRANSAKSI_LOG!$M$2:$M$998,MATCH(1,INDEX((TRANSAKSI_LOG!$C$2:$C$998=$C$5)*(TRANSAKSI_LOG!$J$2:$J$998=E$7)*(TRANSAKSI_LOG!$E$2:$E$998&lt;=$B62)*(TRANSAKSI_LOG!$F$2:$F$998&gt;=$B62),0),0)) &amp; " - " &amp; INDEX(TRANSAKSI_LOG!$H$2:$H$998,MATCH(1,INDEX((TRANSAKSI_LOG!$C$2:$C$998=$C$5)*(TRANSAKSI_LOG!$J$2:$J$998=E$7)*(TRANSAKSI_LOG!$E$2:$E$998&lt;=$B62)*(TRANSAKSI_LOG!$F$2:$F$998&gt;=$B62),0),0)),"")</f>
        <v/>
      </c>
      <c r="F62" s="66" t="str">
        <f t="array" ref="F62">IFERROR(INDEX(TRANSAKSI_LOG!$M$2:$M$998,MATCH(1,INDEX((TRANSAKSI_LOG!$C$2:$C$998=$C$5)*(TRANSAKSI_LOG!$J$2:$J$998=F$7)*(TRANSAKSI_LOG!$E$2:$E$998&lt;=$B62)*(TRANSAKSI_LOG!$F$2:$F$998&gt;=$B62),0),0)) &amp; " - " &amp; INDEX(TRANSAKSI_LOG!$H$2:$H$998,MATCH(1,INDEX((TRANSAKSI_LOG!$C$2:$C$998=$C$5)*(TRANSAKSI_LOG!$J$2:$J$998=F$7)*(TRANSAKSI_LOG!$E$2:$E$998&lt;=$B62)*(TRANSAKSI_LOG!$F$2:$F$998&gt;=$B62),0),0)),"")</f>
        <v/>
      </c>
      <c r="G62" s="66" t="str">
        <f t="array" ref="G62">IFERROR(INDEX(TRANSAKSI_LOG!$M$2:$M$998,MATCH(1,INDEX((TRANSAKSI_LOG!$C$2:$C$998=$C$5)*(TRANSAKSI_LOG!$J$2:$J$998=G$7)*(TRANSAKSI_LOG!$E$2:$E$998&lt;=$B62)*(TRANSAKSI_LOG!$F$2:$F$998&gt;=$B62),0),0)) &amp; " - " &amp; INDEX(TRANSAKSI_LOG!$H$2:$H$998,MATCH(1,INDEX((TRANSAKSI_LOG!$C$2:$C$998=$C$5)*(TRANSAKSI_LOG!$J$2:$J$998=G$7)*(TRANSAKSI_LOG!$E$2:$E$998&lt;=$B62)*(TRANSAKSI_LOG!$F$2:$F$998&gt;=$B62),0),0)),"")</f>
        <v/>
      </c>
      <c r="H62" s="66" t="str">
        <f t="array" ref="H62">IFERROR(INDEX(TRANSAKSI_LOG!$M$2:$M$998,MATCH(1,INDEX((TRANSAKSI_LOG!$C$2:$C$998=$C$5)*(TRANSAKSI_LOG!$J$2:$J$998=H$7)*(TRANSAKSI_LOG!$E$2:$E$998&lt;=$B62)*(TRANSAKSI_LOG!$F$2:$F$998&gt;=$B62),0),0)) &amp; " - " &amp; INDEX(TRANSAKSI_LOG!$H$2:$H$998,MATCH(1,INDEX((TRANSAKSI_LOG!$C$2:$C$998=$C$5)*(TRANSAKSI_LOG!$J$2:$J$998=H$7)*(TRANSAKSI_LOG!$E$2:$E$998&lt;=$B62)*(TRANSAKSI_LOG!$F$2:$F$998&gt;=$B62),0),0)),"")</f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13">
        <v>0.5243055555555556</v>
      </c>
      <c r="C63" s="66" t="str">
        <f t="array" ref="C63">IFERROR(INDEX(TRANSAKSI_LOG!$M$2:$M$998,MATCH(1,INDEX((TRANSAKSI_LOG!$C$2:$C$998=$C$5)*(TRANSAKSI_LOG!$J$2:$J$998=C$7)*(TRANSAKSI_LOG!$E$2:$E$998&lt;=$B63)*(TRANSAKSI_LOG!$F$2:$F$998&gt;=$B63),0),0)) &amp; " - " &amp; INDEX(TRANSAKSI_LOG!$H$2:$H$998,MATCH(1,INDEX((TRANSAKSI_LOG!$C$2:$C$998=$C$5)*(TRANSAKSI_LOG!$J$2:$J$998=C$7)*(TRANSAKSI_LOG!$E$2:$E$998&lt;=$B63)*(TRANSAKSI_LOG!$F$2:$F$998&gt;=$B63),0),0)),"")</f>
        <v/>
      </c>
      <c r="D63" s="66" t="str">
        <f t="array" ref="D63">IFERROR(INDEX(TRANSAKSI_LOG!$M$2:$M$998,MATCH(1,INDEX((TRANSAKSI_LOG!$C$2:$C$998=$C$5)*(TRANSAKSI_LOG!$J$2:$J$998=D$7)*(TRANSAKSI_LOG!$E$2:$E$998&lt;=$B63)*(TRANSAKSI_LOG!$F$2:$F$998&gt;=$B63),0),0)) &amp; " - " &amp; INDEX(TRANSAKSI_LOG!$H$2:$H$998,MATCH(1,INDEX((TRANSAKSI_LOG!$C$2:$C$998=$C$5)*(TRANSAKSI_LOG!$J$2:$J$998=D$7)*(TRANSAKSI_LOG!$E$2:$E$998&lt;=$B63)*(TRANSAKSI_LOG!$F$2:$F$998&gt;=$B63),0),0)),"")</f>
        <v/>
      </c>
      <c r="E63" s="66" t="str">
        <f t="array" ref="E63">IFERROR(INDEX(TRANSAKSI_LOG!$M$2:$M$998,MATCH(1,INDEX((TRANSAKSI_LOG!$C$2:$C$998=$C$5)*(TRANSAKSI_LOG!$J$2:$J$998=E$7)*(TRANSAKSI_LOG!$E$2:$E$998&lt;=$B63)*(TRANSAKSI_LOG!$F$2:$F$998&gt;=$B63),0),0)) &amp; " - " &amp; INDEX(TRANSAKSI_LOG!$H$2:$H$998,MATCH(1,INDEX((TRANSAKSI_LOG!$C$2:$C$998=$C$5)*(TRANSAKSI_LOG!$J$2:$J$998=E$7)*(TRANSAKSI_LOG!$E$2:$E$998&lt;=$B63)*(TRANSAKSI_LOG!$F$2:$F$998&gt;=$B63),0),0)),"")</f>
        <v/>
      </c>
      <c r="F63" s="66" t="str">
        <f t="array" ref="F63">IFERROR(INDEX(TRANSAKSI_LOG!$M$2:$M$998,MATCH(1,INDEX((TRANSAKSI_LOG!$C$2:$C$998=$C$5)*(TRANSAKSI_LOG!$J$2:$J$998=F$7)*(TRANSAKSI_LOG!$E$2:$E$998&lt;=$B63)*(TRANSAKSI_LOG!$F$2:$F$998&gt;=$B63),0),0)) &amp; " - " &amp; INDEX(TRANSAKSI_LOG!$H$2:$H$998,MATCH(1,INDEX((TRANSAKSI_LOG!$C$2:$C$998=$C$5)*(TRANSAKSI_LOG!$J$2:$J$998=F$7)*(TRANSAKSI_LOG!$E$2:$E$998&lt;=$B63)*(TRANSAKSI_LOG!$F$2:$F$998&gt;=$B63),0),0)),"")</f>
        <v/>
      </c>
      <c r="G63" s="66" t="str">
        <f t="array" ref="G63">IFERROR(INDEX(TRANSAKSI_LOG!$M$2:$M$998,MATCH(1,INDEX((TRANSAKSI_LOG!$C$2:$C$998=$C$5)*(TRANSAKSI_LOG!$J$2:$J$998=G$7)*(TRANSAKSI_LOG!$E$2:$E$998&lt;=$B63)*(TRANSAKSI_LOG!$F$2:$F$998&gt;=$B63),0),0)) &amp; " - " &amp; INDEX(TRANSAKSI_LOG!$H$2:$H$998,MATCH(1,INDEX((TRANSAKSI_LOG!$C$2:$C$998=$C$5)*(TRANSAKSI_LOG!$J$2:$J$998=G$7)*(TRANSAKSI_LOG!$E$2:$E$998&lt;=$B63)*(TRANSAKSI_LOG!$F$2:$F$998&gt;=$B63),0),0)),"")</f>
        <v/>
      </c>
      <c r="H63" s="66" t="str">
        <f t="array" ref="H63">IFERROR(INDEX(TRANSAKSI_LOG!$M$2:$M$998,MATCH(1,INDEX((TRANSAKSI_LOG!$C$2:$C$998=$C$5)*(TRANSAKSI_LOG!$J$2:$J$998=H$7)*(TRANSAKSI_LOG!$E$2:$E$998&lt;=$B63)*(TRANSAKSI_LOG!$F$2:$F$998&gt;=$B63),0),0)) &amp; " - " &amp; INDEX(TRANSAKSI_LOG!$H$2:$H$998,MATCH(1,INDEX((TRANSAKSI_LOG!$C$2:$C$998=$C$5)*(TRANSAKSI_LOG!$J$2:$J$998=H$7)*(TRANSAKSI_LOG!$E$2:$E$998&lt;=$B63)*(TRANSAKSI_LOG!$F$2:$F$998&gt;=$B63),0),0)),"")</f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13">
        <v>0.5277777777777778</v>
      </c>
      <c r="C64" s="66" t="str">
        <f t="array" ref="C64">IFERROR(INDEX(TRANSAKSI_LOG!$M$2:$M$998,MATCH(1,INDEX((TRANSAKSI_LOG!$C$2:$C$998=$C$5)*(TRANSAKSI_LOG!$J$2:$J$998=C$7)*(TRANSAKSI_LOG!$E$2:$E$998&lt;=$B64)*(TRANSAKSI_LOG!$F$2:$F$998&gt;=$B64),0),0)) &amp; " - " &amp; INDEX(TRANSAKSI_LOG!$H$2:$H$998,MATCH(1,INDEX((TRANSAKSI_LOG!$C$2:$C$998=$C$5)*(TRANSAKSI_LOG!$J$2:$J$998=C$7)*(TRANSAKSI_LOG!$E$2:$E$998&lt;=$B64)*(TRANSAKSI_LOG!$F$2:$F$998&gt;=$B64),0),0)),"")</f>
        <v/>
      </c>
      <c r="D64" s="66" t="str">
        <f t="array" ref="D64">IFERROR(INDEX(TRANSAKSI_LOG!$M$2:$M$998,MATCH(1,INDEX((TRANSAKSI_LOG!$C$2:$C$998=$C$5)*(TRANSAKSI_LOG!$J$2:$J$998=D$7)*(TRANSAKSI_LOG!$E$2:$E$998&lt;=$B64)*(TRANSAKSI_LOG!$F$2:$F$998&gt;=$B64),0),0)) &amp; " - " &amp; INDEX(TRANSAKSI_LOG!$H$2:$H$998,MATCH(1,INDEX((TRANSAKSI_LOG!$C$2:$C$998=$C$5)*(TRANSAKSI_LOG!$J$2:$J$998=D$7)*(TRANSAKSI_LOG!$E$2:$E$998&lt;=$B64)*(TRANSAKSI_LOG!$F$2:$F$998&gt;=$B64),0),0)),"")</f>
        <v/>
      </c>
      <c r="E64" s="66" t="str">
        <f t="array" ref="E64">IFERROR(INDEX(TRANSAKSI_LOG!$M$2:$M$998,MATCH(1,INDEX((TRANSAKSI_LOG!$C$2:$C$998=$C$5)*(TRANSAKSI_LOG!$J$2:$J$998=E$7)*(TRANSAKSI_LOG!$E$2:$E$998&lt;=$B64)*(TRANSAKSI_LOG!$F$2:$F$998&gt;=$B64),0),0)) &amp; " - " &amp; INDEX(TRANSAKSI_LOG!$H$2:$H$998,MATCH(1,INDEX((TRANSAKSI_LOG!$C$2:$C$998=$C$5)*(TRANSAKSI_LOG!$J$2:$J$998=E$7)*(TRANSAKSI_LOG!$E$2:$E$998&lt;=$B64)*(TRANSAKSI_LOG!$F$2:$F$998&gt;=$B64),0),0)),"")</f>
        <v/>
      </c>
      <c r="F64" s="66" t="str">
        <f t="array" ref="F64">IFERROR(INDEX(TRANSAKSI_LOG!$M$2:$M$998,MATCH(1,INDEX((TRANSAKSI_LOG!$C$2:$C$998=$C$5)*(TRANSAKSI_LOG!$J$2:$J$998=F$7)*(TRANSAKSI_LOG!$E$2:$E$998&lt;=$B64)*(TRANSAKSI_LOG!$F$2:$F$998&gt;=$B64),0),0)) &amp; " - " &amp; INDEX(TRANSAKSI_LOG!$H$2:$H$998,MATCH(1,INDEX((TRANSAKSI_LOG!$C$2:$C$998=$C$5)*(TRANSAKSI_LOG!$J$2:$J$998=F$7)*(TRANSAKSI_LOG!$E$2:$E$998&lt;=$B64)*(TRANSAKSI_LOG!$F$2:$F$998&gt;=$B64),0),0)),"")</f>
        <v/>
      </c>
      <c r="G64" s="66" t="str">
        <f t="array" ref="G64">IFERROR(INDEX(TRANSAKSI_LOG!$M$2:$M$998,MATCH(1,INDEX((TRANSAKSI_LOG!$C$2:$C$998=$C$5)*(TRANSAKSI_LOG!$J$2:$J$998=G$7)*(TRANSAKSI_LOG!$E$2:$E$998&lt;=$B64)*(TRANSAKSI_LOG!$F$2:$F$998&gt;=$B64),0),0)) &amp; " - " &amp; INDEX(TRANSAKSI_LOG!$H$2:$H$998,MATCH(1,INDEX((TRANSAKSI_LOG!$C$2:$C$998=$C$5)*(TRANSAKSI_LOG!$J$2:$J$998=G$7)*(TRANSAKSI_LOG!$E$2:$E$998&lt;=$B64)*(TRANSAKSI_LOG!$F$2:$F$998&gt;=$B64),0),0)),"")</f>
        <v/>
      </c>
      <c r="H64" s="66" t="str">
        <f t="array" ref="H64">IFERROR(INDEX(TRANSAKSI_LOG!$M$2:$M$998,MATCH(1,INDEX((TRANSAKSI_LOG!$C$2:$C$998=$C$5)*(TRANSAKSI_LOG!$J$2:$J$998=H$7)*(TRANSAKSI_LOG!$E$2:$E$998&lt;=$B64)*(TRANSAKSI_LOG!$F$2:$F$998&gt;=$B64),0),0)) &amp; " - " &amp; INDEX(TRANSAKSI_LOG!$H$2:$H$998,MATCH(1,INDEX((TRANSAKSI_LOG!$C$2:$C$998=$C$5)*(TRANSAKSI_LOG!$J$2:$J$998=H$7)*(TRANSAKSI_LOG!$E$2:$E$998&lt;=$B64)*(TRANSAKSI_LOG!$F$2:$F$998&gt;=$B64),0),0)),"")</f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13">
        <v>0.53125</v>
      </c>
      <c r="C65" s="66" t="str">
        <f t="array" ref="C65">IFERROR(INDEX(TRANSAKSI_LOG!$M$2:$M$998,MATCH(1,INDEX((TRANSAKSI_LOG!$C$2:$C$998=$C$5)*(TRANSAKSI_LOG!$J$2:$J$998=C$7)*(TRANSAKSI_LOG!$E$2:$E$998&lt;=$B65)*(TRANSAKSI_LOG!$F$2:$F$998&gt;=$B65),0),0)) &amp; " - " &amp; INDEX(TRANSAKSI_LOG!$H$2:$H$998,MATCH(1,INDEX((TRANSAKSI_LOG!$C$2:$C$998=$C$5)*(TRANSAKSI_LOG!$J$2:$J$998=C$7)*(TRANSAKSI_LOG!$E$2:$E$998&lt;=$B65)*(TRANSAKSI_LOG!$F$2:$F$998&gt;=$B65),0),0)),"")</f>
        <v/>
      </c>
      <c r="D65" s="66" t="str">
        <f t="array" ref="D65">IFERROR(INDEX(TRANSAKSI_LOG!$M$2:$M$998,MATCH(1,INDEX((TRANSAKSI_LOG!$C$2:$C$998=$C$5)*(TRANSAKSI_LOG!$J$2:$J$998=D$7)*(TRANSAKSI_LOG!$E$2:$E$998&lt;=$B65)*(TRANSAKSI_LOG!$F$2:$F$998&gt;=$B65),0),0)) &amp; " - " &amp; INDEX(TRANSAKSI_LOG!$H$2:$H$998,MATCH(1,INDEX((TRANSAKSI_LOG!$C$2:$C$998=$C$5)*(TRANSAKSI_LOG!$J$2:$J$998=D$7)*(TRANSAKSI_LOG!$E$2:$E$998&lt;=$B65)*(TRANSAKSI_LOG!$F$2:$F$998&gt;=$B65),0),0)),"")</f>
        <v/>
      </c>
      <c r="E65" s="66" t="str">
        <f t="array" ref="E65">IFERROR(INDEX(TRANSAKSI_LOG!$M$2:$M$998,MATCH(1,INDEX((TRANSAKSI_LOG!$C$2:$C$998=$C$5)*(TRANSAKSI_LOG!$J$2:$J$998=E$7)*(TRANSAKSI_LOG!$E$2:$E$998&lt;=$B65)*(TRANSAKSI_LOG!$F$2:$F$998&gt;=$B65),0),0)) &amp; " - " &amp; INDEX(TRANSAKSI_LOG!$H$2:$H$998,MATCH(1,INDEX((TRANSAKSI_LOG!$C$2:$C$998=$C$5)*(TRANSAKSI_LOG!$J$2:$J$998=E$7)*(TRANSAKSI_LOG!$E$2:$E$998&lt;=$B65)*(TRANSAKSI_LOG!$F$2:$F$998&gt;=$B65),0),0)),"")</f>
        <v/>
      </c>
      <c r="F65" s="66" t="str">
        <f t="array" ref="F65">IFERROR(INDEX(TRANSAKSI_LOG!$M$2:$M$998,MATCH(1,INDEX((TRANSAKSI_LOG!$C$2:$C$998=$C$5)*(TRANSAKSI_LOG!$J$2:$J$998=F$7)*(TRANSAKSI_LOG!$E$2:$E$998&lt;=$B65)*(TRANSAKSI_LOG!$F$2:$F$998&gt;=$B65),0),0)) &amp; " - " &amp; INDEX(TRANSAKSI_LOG!$H$2:$H$998,MATCH(1,INDEX((TRANSAKSI_LOG!$C$2:$C$998=$C$5)*(TRANSAKSI_LOG!$J$2:$J$998=F$7)*(TRANSAKSI_LOG!$E$2:$E$998&lt;=$B65)*(TRANSAKSI_LOG!$F$2:$F$998&gt;=$B65),0),0)),"")</f>
        <v/>
      </c>
      <c r="G65" s="66" t="str">
        <f t="array" ref="G65">IFERROR(INDEX(TRANSAKSI_LOG!$M$2:$M$998,MATCH(1,INDEX((TRANSAKSI_LOG!$C$2:$C$998=$C$5)*(TRANSAKSI_LOG!$J$2:$J$998=G$7)*(TRANSAKSI_LOG!$E$2:$E$998&lt;=$B65)*(TRANSAKSI_LOG!$F$2:$F$998&gt;=$B65),0),0)) &amp; " - " &amp; INDEX(TRANSAKSI_LOG!$H$2:$H$998,MATCH(1,INDEX((TRANSAKSI_LOG!$C$2:$C$998=$C$5)*(TRANSAKSI_LOG!$J$2:$J$998=G$7)*(TRANSAKSI_LOG!$E$2:$E$998&lt;=$B65)*(TRANSAKSI_LOG!$F$2:$F$998&gt;=$B65),0),0)),"")</f>
        <v/>
      </c>
      <c r="H65" s="66" t="str">
        <f t="array" ref="H65">IFERROR(INDEX(TRANSAKSI_LOG!$M$2:$M$998,MATCH(1,INDEX((TRANSAKSI_LOG!$C$2:$C$998=$C$5)*(TRANSAKSI_LOG!$J$2:$J$998=H$7)*(TRANSAKSI_LOG!$E$2:$E$998&lt;=$B65)*(TRANSAKSI_LOG!$F$2:$F$998&gt;=$B65),0),0)) &amp; " - " &amp; INDEX(TRANSAKSI_LOG!$H$2:$H$998,MATCH(1,INDEX((TRANSAKSI_LOG!$C$2:$C$998=$C$5)*(TRANSAKSI_LOG!$J$2:$J$998=H$7)*(TRANSAKSI_LOG!$E$2:$E$998&lt;=$B65)*(TRANSAKSI_LOG!$F$2:$F$998&gt;=$B65),0),0)),"")</f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13">
        <v>0.5347222222222222</v>
      </c>
      <c r="C66" s="66" t="str">
        <f t="array" ref="C66">IFERROR(INDEX(TRANSAKSI_LOG!$M$2:$M$998,MATCH(1,INDEX((TRANSAKSI_LOG!$C$2:$C$998=$C$5)*(TRANSAKSI_LOG!$J$2:$J$998=C$7)*(TRANSAKSI_LOG!$E$2:$E$998&lt;=$B66)*(TRANSAKSI_LOG!$F$2:$F$998&gt;=$B66),0),0)) &amp; " - " &amp; INDEX(TRANSAKSI_LOG!$H$2:$H$998,MATCH(1,INDEX((TRANSAKSI_LOG!$C$2:$C$998=$C$5)*(TRANSAKSI_LOG!$J$2:$J$998=C$7)*(TRANSAKSI_LOG!$E$2:$E$998&lt;=$B66)*(TRANSAKSI_LOG!$F$2:$F$998&gt;=$B66),0),0)),"")</f>
        <v/>
      </c>
      <c r="D66" s="66" t="str">
        <f t="array" ref="D66">IFERROR(INDEX(TRANSAKSI_LOG!$M$2:$M$998,MATCH(1,INDEX((TRANSAKSI_LOG!$C$2:$C$998=$C$5)*(TRANSAKSI_LOG!$J$2:$J$998=D$7)*(TRANSAKSI_LOG!$E$2:$E$998&lt;=$B66)*(TRANSAKSI_LOG!$F$2:$F$998&gt;=$B66),0),0)) &amp; " - " &amp; INDEX(TRANSAKSI_LOG!$H$2:$H$998,MATCH(1,INDEX((TRANSAKSI_LOG!$C$2:$C$998=$C$5)*(TRANSAKSI_LOG!$J$2:$J$998=D$7)*(TRANSAKSI_LOG!$E$2:$E$998&lt;=$B66)*(TRANSAKSI_LOG!$F$2:$F$998&gt;=$B66),0),0)),"")</f>
        <v/>
      </c>
      <c r="E66" s="66" t="str">
        <f t="array" ref="E66">IFERROR(INDEX(TRANSAKSI_LOG!$M$2:$M$998,MATCH(1,INDEX((TRANSAKSI_LOG!$C$2:$C$998=$C$5)*(TRANSAKSI_LOG!$J$2:$J$998=E$7)*(TRANSAKSI_LOG!$E$2:$E$998&lt;=$B66)*(TRANSAKSI_LOG!$F$2:$F$998&gt;=$B66),0),0)) &amp; " - " &amp; INDEX(TRANSAKSI_LOG!$H$2:$H$998,MATCH(1,INDEX((TRANSAKSI_LOG!$C$2:$C$998=$C$5)*(TRANSAKSI_LOG!$J$2:$J$998=E$7)*(TRANSAKSI_LOG!$E$2:$E$998&lt;=$B66)*(TRANSAKSI_LOG!$F$2:$F$998&gt;=$B66),0),0)),"")</f>
        <v/>
      </c>
      <c r="F66" s="66" t="str">
        <f t="array" ref="F66">IFERROR(INDEX(TRANSAKSI_LOG!$M$2:$M$998,MATCH(1,INDEX((TRANSAKSI_LOG!$C$2:$C$998=$C$5)*(TRANSAKSI_LOG!$J$2:$J$998=F$7)*(TRANSAKSI_LOG!$E$2:$E$998&lt;=$B66)*(TRANSAKSI_LOG!$F$2:$F$998&gt;=$B66),0),0)) &amp; " - " &amp; INDEX(TRANSAKSI_LOG!$H$2:$H$998,MATCH(1,INDEX((TRANSAKSI_LOG!$C$2:$C$998=$C$5)*(TRANSAKSI_LOG!$J$2:$J$998=F$7)*(TRANSAKSI_LOG!$E$2:$E$998&lt;=$B66)*(TRANSAKSI_LOG!$F$2:$F$998&gt;=$B66),0),0)),"")</f>
        <v/>
      </c>
      <c r="G66" s="66" t="str">
        <f t="array" ref="G66">IFERROR(INDEX(TRANSAKSI_LOG!$M$2:$M$998,MATCH(1,INDEX((TRANSAKSI_LOG!$C$2:$C$998=$C$5)*(TRANSAKSI_LOG!$J$2:$J$998=G$7)*(TRANSAKSI_LOG!$E$2:$E$998&lt;=$B66)*(TRANSAKSI_LOG!$F$2:$F$998&gt;=$B66),0),0)) &amp; " - " &amp; INDEX(TRANSAKSI_LOG!$H$2:$H$998,MATCH(1,INDEX((TRANSAKSI_LOG!$C$2:$C$998=$C$5)*(TRANSAKSI_LOG!$J$2:$J$998=G$7)*(TRANSAKSI_LOG!$E$2:$E$998&lt;=$B66)*(TRANSAKSI_LOG!$F$2:$F$998&gt;=$B66),0),0)),"")</f>
        <v/>
      </c>
      <c r="H66" s="66" t="str">
        <f t="array" ref="H66">IFERROR(INDEX(TRANSAKSI_LOG!$M$2:$M$998,MATCH(1,INDEX((TRANSAKSI_LOG!$C$2:$C$998=$C$5)*(TRANSAKSI_LOG!$J$2:$J$998=H$7)*(TRANSAKSI_LOG!$E$2:$E$998&lt;=$B66)*(TRANSAKSI_LOG!$F$2:$F$998&gt;=$B66),0),0)) &amp; " - " &amp; INDEX(TRANSAKSI_LOG!$H$2:$H$998,MATCH(1,INDEX((TRANSAKSI_LOG!$C$2:$C$998=$C$5)*(TRANSAKSI_LOG!$J$2:$J$998=H$7)*(TRANSAKSI_LOG!$E$2:$E$998&lt;=$B66)*(TRANSAKSI_LOG!$F$2:$F$998&gt;=$B66),0),0)),"")</f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13">
        <v>0.5381944444444444</v>
      </c>
      <c r="C67" s="66" t="str">
        <f t="array" ref="C67">IFERROR(INDEX(TRANSAKSI_LOG!$M$2:$M$998,MATCH(1,INDEX((TRANSAKSI_LOG!$C$2:$C$998=$C$5)*(TRANSAKSI_LOG!$J$2:$J$998=C$7)*(TRANSAKSI_LOG!$E$2:$E$998&lt;=$B67)*(TRANSAKSI_LOG!$F$2:$F$998&gt;=$B67),0),0)) &amp; " - " &amp; INDEX(TRANSAKSI_LOG!$H$2:$H$998,MATCH(1,INDEX((TRANSAKSI_LOG!$C$2:$C$998=$C$5)*(TRANSAKSI_LOG!$J$2:$J$998=C$7)*(TRANSAKSI_LOG!$E$2:$E$998&lt;=$B67)*(TRANSAKSI_LOG!$F$2:$F$998&gt;=$B67),0),0)),"")</f>
        <v/>
      </c>
      <c r="D67" s="66" t="str">
        <f t="array" ref="D67">IFERROR(INDEX(TRANSAKSI_LOG!$M$2:$M$998,MATCH(1,INDEX((TRANSAKSI_LOG!$C$2:$C$998=$C$5)*(TRANSAKSI_LOG!$J$2:$J$998=D$7)*(TRANSAKSI_LOG!$E$2:$E$998&lt;=$B67)*(TRANSAKSI_LOG!$F$2:$F$998&gt;=$B67),0),0)) &amp; " - " &amp; INDEX(TRANSAKSI_LOG!$H$2:$H$998,MATCH(1,INDEX((TRANSAKSI_LOG!$C$2:$C$998=$C$5)*(TRANSAKSI_LOG!$J$2:$J$998=D$7)*(TRANSAKSI_LOG!$E$2:$E$998&lt;=$B67)*(TRANSAKSI_LOG!$F$2:$F$998&gt;=$B67),0),0)),"")</f>
        <v/>
      </c>
      <c r="E67" s="66" t="str">
        <f t="array" ref="E67">IFERROR(INDEX(TRANSAKSI_LOG!$M$2:$M$998,MATCH(1,INDEX((TRANSAKSI_LOG!$C$2:$C$998=$C$5)*(TRANSAKSI_LOG!$J$2:$J$998=E$7)*(TRANSAKSI_LOG!$E$2:$E$998&lt;=$B67)*(TRANSAKSI_LOG!$F$2:$F$998&gt;=$B67),0),0)) &amp; " - " &amp; INDEX(TRANSAKSI_LOG!$H$2:$H$998,MATCH(1,INDEX((TRANSAKSI_LOG!$C$2:$C$998=$C$5)*(TRANSAKSI_LOG!$J$2:$J$998=E$7)*(TRANSAKSI_LOG!$E$2:$E$998&lt;=$B67)*(TRANSAKSI_LOG!$F$2:$F$998&gt;=$B67),0),0)),"")</f>
        <v/>
      </c>
      <c r="F67" s="66" t="str">
        <f t="array" ref="F67">IFERROR(INDEX(TRANSAKSI_LOG!$M$2:$M$998,MATCH(1,INDEX((TRANSAKSI_LOG!$C$2:$C$998=$C$5)*(TRANSAKSI_LOG!$J$2:$J$998=F$7)*(TRANSAKSI_LOG!$E$2:$E$998&lt;=$B67)*(TRANSAKSI_LOG!$F$2:$F$998&gt;=$B67),0),0)) &amp; " - " &amp; INDEX(TRANSAKSI_LOG!$H$2:$H$998,MATCH(1,INDEX((TRANSAKSI_LOG!$C$2:$C$998=$C$5)*(TRANSAKSI_LOG!$J$2:$J$998=F$7)*(TRANSAKSI_LOG!$E$2:$E$998&lt;=$B67)*(TRANSAKSI_LOG!$F$2:$F$998&gt;=$B67),0),0)),"")</f>
        <v/>
      </c>
      <c r="G67" s="66" t="str">
        <f t="array" ref="G67">IFERROR(INDEX(TRANSAKSI_LOG!$M$2:$M$998,MATCH(1,INDEX((TRANSAKSI_LOG!$C$2:$C$998=$C$5)*(TRANSAKSI_LOG!$J$2:$J$998=G$7)*(TRANSAKSI_LOG!$E$2:$E$998&lt;=$B67)*(TRANSAKSI_LOG!$F$2:$F$998&gt;=$B67),0),0)) &amp; " - " &amp; INDEX(TRANSAKSI_LOG!$H$2:$H$998,MATCH(1,INDEX((TRANSAKSI_LOG!$C$2:$C$998=$C$5)*(TRANSAKSI_LOG!$J$2:$J$998=G$7)*(TRANSAKSI_LOG!$E$2:$E$998&lt;=$B67)*(TRANSAKSI_LOG!$F$2:$F$998&gt;=$B67),0),0)),"")</f>
        <v/>
      </c>
      <c r="H67" s="66" t="str">
        <f t="array" ref="H67">IFERROR(INDEX(TRANSAKSI_LOG!$M$2:$M$998,MATCH(1,INDEX((TRANSAKSI_LOG!$C$2:$C$998=$C$5)*(TRANSAKSI_LOG!$J$2:$J$998=H$7)*(TRANSAKSI_LOG!$E$2:$E$998&lt;=$B67)*(TRANSAKSI_LOG!$F$2:$F$998&gt;=$B67),0),0)) &amp; " - " &amp; INDEX(TRANSAKSI_LOG!$H$2:$H$998,MATCH(1,INDEX((TRANSAKSI_LOG!$C$2:$C$998=$C$5)*(TRANSAKSI_LOG!$J$2:$J$998=H$7)*(TRANSAKSI_LOG!$E$2:$E$998&lt;=$B67)*(TRANSAKSI_LOG!$F$2:$F$998&gt;=$B67),0),0)),"")</f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13">
        <v>0.5416666666666666</v>
      </c>
      <c r="C68" s="66" t="str">
        <f t="array" ref="C68">IFERROR(INDEX(TRANSAKSI_LOG!$M$2:$M$998,MATCH(1,INDEX((TRANSAKSI_LOG!$C$2:$C$998=$C$5)*(TRANSAKSI_LOG!$J$2:$J$998=C$7)*(TRANSAKSI_LOG!$E$2:$E$998&lt;=$B68)*(TRANSAKSI_LOG!$F$2:$F$998&gt;=$B68),0),0)) &amp; " - " &amp; INDEX(TRANSAKSI_LOG!$H$2:$H$998,MATCH(1,INDEX((TRANSAKSI_LOG!$C$2:$C$998=$C$5)*(TRANSAKSI_LOG!$J$2:$J$998=C$7)*(TRANSAKSI_LOG!$E$2:$E$998&lt;=$B68)*(TRANSAKSI_LOG!$F$2:$F$998&gt;=$B68),0),0)),"")</f>
        <v/>
      </c>
      <c r="D68" s="66" t="str">
        <f t="array" ref="D68">IFERROR(INDEX(TRANSAKSI_LOG!$M$2:$M$998,MATCH(1,INDEX((TRANSAKSI_LOG!$C$2:$C$998=$C$5)*(TRANSAKSI_LOG!$J$2:$J$998=D$7)*(TRANSAKSI_LOG!$E$2:$E$998&lt;=$B68)*(TRANSAKSI_LOG!$F$2:$F$998&gt;=$B68),0),0)) &amp; " - " &amp; INDEX(TRANSAKSI_LOG!$H$2:$H$998,MATCH(1,INDEX((TRANSAKSI_LOG!$C$2:$C$998=$C$5)*(TRANSAKSI_LOG!$J$2:$J$998=D$7)*(TRANSAKSI_LOG!$E$2:$E$998&lt;=$B68)*(TRANSAKSI_LOG!$F$2:$F$998&gt;=$B68),0),0)),"")</f>
        <v/>
      </c>
      <c r="E68" s="66" t="str">
        <f t="array" ref="E68">IFERROR(INDEX(TRANSAKSI_LOG!$M$2:$M$998,MATCH(1,INDEX((TRANSAKSI_LOG!$C$2:$C$998=$C$5)*(TRANSAKSI_LOG!$J$2:$J$998=E$7)*(TRANSAKSI_LOG!$E$2:$E$998&lt;=$B68)*(TRANSAKSI_LOG!$F$2:$F$998&gt;=$B68),0),0)) &amp; " - " &amp; INDEX(TRANSAKSI_LOG!$H$2:$H$998,MATCH(1,INDEX((TRANSAKSI_LOG!$C$2:$C$998=$C$5)*(TRANSAKSI_LOG!$J$2:$J$998=E$7)*(TRANSAKSI_LOG!$E$2:$E$998&lt;=$B68)*(TRANSAKSI_LOG!$F$2:$F$998&gt;=$B68),0),0)),"")</f>
        <v/>
      </c>
      <c r="F68" s="66" t="str">
        <f t="array" ref="F68">IFERROR(INDEX(TRANSAKSI_LOG!$M$2:$M$998,MATCH(1,INDEX((TRANSAKSI_LOG!$C$2:$C$998=$C$5)*(TRANSAKSI_LOG!$J$2:$J$998=F$7)*(TRANSAKSI_LOG!$E$2:$E$998&lt;=$B68)*(TRANSAKSI_LOG!$F$2:$F$998&gt;=$B68),0),0)) &amp; " - " &amp; INDEX(TRANSAKSI_LOG!$H$2:$H$998,MATCH(1,INDEX((TRANSAKSI_LOG!$C$2:$C$998=$C$5)*(TRANSAKSI_LOG!$J$2:$J$998=F$7)*(TRANSAKSI_LOG!$E$2:$E$998&lt;=$B68)*(TRANSAKSI_LOG!$F$2:$F$998&gt;=$B68),0),0)),"")</f>
        <v/>
      </c>
      <c r="G68" s="66" t="str">
        <f t="array" ref="G68">IFERROR(INDEX(TRANSAKSI_LOG!$M$2:$M$998,MATCH(1,INDEX((TRANSAKSI_LOG!$C$2:$C$998=$C$5)*(TRANSAKSI_LOG!$J$2:$J$998=G$7)*(TRANSAKSI_LOG!$E$2:$E$998&lt;=$B68)*(TRANSAKSI_LOG!$F$2:$F$998&gt;=$B68),0),0)) &amp; " - " &amp; INDEX(TRANSAKSI_LOG!$H$2:$H$998,MATCH(1,INDEX((TRANSAKSI_LOG!$C$2:$C$998=$C$5)*(TRANSAKSI_LOG!$J$2:$J$998=G$7)*(TRANSAKSI_LOG!$E$2:$E$998&lt;=$B68)*(TRANSAKSI_LOG!$F$2:$F$998&gt;=$B68),0),0)),"")</f>
        <v/>
      </c>
      <c r="H68" s="66" t="str">
        <f t="array" ref="H68">IFERROR(INDEX(TRANSAKSI_LOG!$M$2:$M$998,MATCH(1,INDEX((TRANSAKSI_LOG!$C$2:$C$998=$C$5)*(TRANSAKSI_LOG!$J$2:$J$998=H$7)*(TRANSAKSI_LOG!$E$2:$E$998&lt;=$B68)*(TRANSAKSI_LOG!$F$2:$F$998&gt;=$B68),0),0)) &amp; " - " &amp; INDEX(TRANSAKSI_LOG!$H$2:$H$998,MATCH(1,INDEX((TRANSAKSI_LOG!$C$2:$C$998=$C$5)*(TRANSAKSI_LOG!$J$2:$J$998=H$7)*(TRANSAKSI_LOG!$E$2:$E$998&lt;=$B68)*(TRANSAKSI_LOG!$F$2:$F$998&gt;=$B68),0),0)),"")</f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13">
        <v>0.5451388888888888</v>
      </c>
      <c r="C69" s="66" t="str">
        <f t="array" ref="C69">IFERROR(INDEX(TRANSAKSI_LOG!$M$2:$M$998,MATCH(1,INDEX((TRANSAKSI_LOG!$C$2:$C$998=$C$5)*(TRANSAKSI_LOG!$J$2:$J$998=C$7)*(TRANSAKSI_LOG!$E$2:$E$998&lt;=$B69)*(TRANSAKSI_LOG!$F$2:$F$998&gt;=$B69),0),0)) &amp; " - " &amp; INDEX(TRANSAKSI_LOG!$H$2:$H$998,MATCH(1,INDEX((TRANSAKSI_LOG!$C$2:$C$998=$C$5)*(TRANSAKSI_LOG!$J$2:$J$998=C$7)*(TRANSAKSI_LOG!$E$2:$E$998&lt;=$B69)*(TRANSAKSI_LOG!$F$2:$F$998&gt;=$B69),0),0)),"")</f>
        <v/>
      </c>
      <c r="D69" s="66" t="str">
        <f t="array" ref="D69">IFERROR(INDEX(TRANSAKSI_LOG!$M$2:$M$998,MATCH(1,INDEX((TRANSAKSI_LOG!$C$2:$C$998=$C$5)*(TRANSAKSI_LOG!$J$2:$J$998=D$7)*(TRANSAKSI_LOG!$E$2:$E$998&lt;=$B69)*(TRANSAKSI_LOG!$F$2:$F$998&gt;=$B69),0),0)) &amp; " - " &amp; INDEX(TRANSAKSI_LOG!$H$2:$H$998,MATCH(1,INDEX((TRANSAKSI_LOG!$C$2:$C$998=$C$5)*(TRANSAKSI_LOG!$J$2:$J$998=D$7)*(TRANSAKSI_LOG!$E$2:$E$998&lt;=$B69)*(TRANSAKSI_LOG!$F$2:$F$998&gt;=$B69),0),0)),"")</f>
        <v/>
      </c>
      <c r="E69" s="66" t="str">
        <f t="array" ref="E69">IFERROR(INDEX(TRANSAKSI_LOG!$M$2:$M$998,MATCH(1,INDEX((TRANSAKSI_LOG!$C$2:$C$998=$C$5)*(TRANSAKSI_LOG!$J$2:$J$998=E$7)*(TRANSAKSI_LOG!$E$2:$E$998&lt;=$B69)*(TRANSAKSI_LOG!$F$2:$F$998&gt;=$B69),0),0)) &amp; " - " &amp; INDEX(TRANSAKSI_LOG!$H$2:$H$998,MATCH(1,INDEX((TRANSAKSI_LOG!$C$2:$C$998=$C$5)*(TRANSAKSI_LOG!$J$2:$J$998=E$7)*(TRANSAKSI_LOG!$E$2:$E$998&lt;=$B69)*(TRANSAKSI_LOG!$F$2:$F$998&gt;=$B69),0),0)),"")</f>
        <v/>
      </c>
      <c r="F69" s="66" t="str">
        <f t="array" ref="F69">IFERROR(INDEX(TRANSAKSI_LOG!$M$2:$M$998,MATCH(1,INDEX((TRANSAKSI_LOG!$C$2:$C$998=$C$5)*(TRANSAKSI_LOG!$J$2:$J$998=F$7)*(TRANSAKSI_LOG!$E$2:$E$998&lt;=$B69)*(TRANSAKSI_LOG!$F$2:$F$998&gt;=$B69),0),0)) &amp; " - " &amp; INDEX(TRANSAKSI_LOG!$H$2:$H$998,MATCH(1,INDEX((TRANSAKSI_LOG!$C$2:$C$998=$C$5)*(TRANSAKSI_LOG!$J$2:$J$998=F$7)*(TRANSAKSI_LOG!$E$2:$E$998&lt;=$B69)*(TRANSAKSI_LOG!$F$2:$F$998&gt;=$B69),0),0)),"")</f>
        <v/>
      </c>
      <c r="G69" s="66" t="str">
        <f t="array" ref="G69">IFERROR(INDEX(TRANSAKSI_LOG!$M$2:$M$998,MATCH(1,INDEX((TRANSAKSI_LOG!$C$2:$C$998=$C$5)*(TRANSAKSI_LOG!$J$2:$J$998=G$7)*(TRANSAKSI_LOG!$E$2:$E$998&lt;=$B69)*(TRANSAKSI_LOG!$F$2:$F$998&gt;=$B69),0),0)) &amp; " - " &amp; INDEX(TRANSAKSI_LOG!$H$2:$H$998,MATCH(1,INDEX((TRANSAKSI_LOG!$C$2:$C$998=$C$5)*(TRANSAKSI_LOG!$J$2:$J$998=G$7)*(TRANSAKSI_LOG!$E$2:$E$998&lt;=$B69)*(TRANSAKSI_LOG!$F$2:$F$998&gt;=$B69),0),0)),"")</f>
        <v/>
      </c>
      <c r="H69" s="66" t="str">
        <f t="array" ref="H69">IFERROR(INDEX(TRANSAKSI_LOG!$M$2:$M$998,MATCH(1,INDEX((TRANSAKSI_LOG!$C$2:$C$998=$C$5)*(TRANSAKSI_LOG!$J$2:$J$998=H$7)*(TRANSAKSI_LOG!$E$2:$E$998&lt;=$B69)*(TRANSAKSI_LOG!$F$2:$F$998&gt;=$B69),0),0)) &amp; " - " &amp; INDEX(TRANSAKSI_LOG!$H$2:$H$998,MATCH(1,INDEX((TRANSAKSI_LOG!$C$2:$C$998=$C$5)*(TRANSAKSI_LOG!$J$2:$J$998=H$7)*(TRANSAKSI_LOG!$E$2:$E$998&lt;=$B69)*(TRANSAKSI_LOG!$F$2:$F$998&gt;=$B69),0),0)),"")</f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13">
        <v>0.5486111111111112</v>
      </c>
      <c r="C70" s="66" t="str">
        <f t="array" ref="C70">IFERROR(INDEX(TRANSAKSI_LOG!$M$2:$M$998,MATCH(1,INDEX((TRANSAKSI_LOG!$C$2:$C$998=$C$5)*(TRANSAKSI_LOG!$J$2:$J$998=C$7)*(TRANSAKSI_LOG!$E$2:$E$998&lt;=$B70)*(TRANSAKSI_LOG!$F$2:$F$998&gt;=$B70),0),0)) &amp; " - " &amp; INDEX(TRANSAKSI_LOG!$H$2:$H$998,MATCH(1,INDEX((TRANSAKSI_LOG!$C$2:$C$998=$C$5)*(TRANSAKSI_LOG!$J$2:$J$998=C$7)*(TRANSAKSI_LOG!$E$2:$E$998&lt;=$B70)*(TRANSAKSI_LOG!$F$2:$F$998&gt;=$B70),0),0)),"")</f>
        <v/>
      </c>
      <c r="D70" s="66" t="str">
        <f t="array" ref="D70">IFERROR(INDEX(TRANSAKSI_LOG!$M$2:$M$998,MATCH(1,INDEX((TRANSAKSI_LOG!$C$2:$C$998=$C$5)*(TRANSAKSI_LOG!$J$2:$J$998=D$7)*(TRANSAKSI_LOG!$E$2:$E$998&lt;=$B70)*(TRANSAKSI_LOG!$F$2:$F$998&gt;=$B70),0),0)) &amp; " - " &amp; INDEX(TRANSAKSI_LOG!$H$2:$H$998,MATCH(1,INDEX((TRANSAKSI_LOG!$C$2:$C$998=$C$5)*(TRANSAKSI_LOG!$J$2:$J$998=D$7)*(TRANSAKSI_LOG!$E$2:$E$998&lt;=$B70)*(TRANSAKSI_LOG!$F$2:$F$998&gt;=$B70),0),0)),"")</f>
        <v/>
      </c>
      <c r="E70" s="66" t="str">
        <f t="array" ref="E70">IFERROR(INDEX(TRANSAKSI_LOG!$M$2:$M$998,MATCH(1,INDEX((TRANSAKSI_LOG!$C$2:$C$998=$C$5)*(TRANSAKSI_LOG!$J$2:$J$998=E$7)*(TRANSAKSI_LOG!$E$2:$E$998&lt;=$B70)*(TRANSAKSI_LOG!$F$2:$F$998&gt;=$B70),0),0)) &amp; " - " &amp; INDEX(TRANSAKSI_LOG!$H$2:$H$998,MATCH(1,INDEX((TRANSAKSI_LOG!$C$2:$C$998=$C$5)*(TRANSAKSI_LOG!$J$2:$J$998=E$7)*(TRANSAKSI_LOG!$E$2:$E$998&lt;=$B70)*(TRANSAKSI_LOG!$F$2:$F$998&gt;=$B70),0),0)),"")</f>
        <v/>
      </c>
      <c r="F70" s="66" t="str">
        <f t="array" ref="F70">IFERROR(INDEX(TRANSAKSI_LOG!$M$2:$M$998,MATCH(1,INDEX((TRANSAKSI_LOG!$C$2:$C$998=$C$5)*(TRANSAKSI_LOG!$J$2:$J$998=F$7)*(TRANSAKSI_LOG!$E$2:$E$998&lt;=$B70)*(TRANSAKSI_LOG!$F$2:$F$998&gt;=$B70),0),0)) &amp; " - " &amp; INDEX(TRANSAKSI_LOG!$H$2:$H$998,MATCH(1,INDEX((TRANSAKSI_LOG!$C$2:$C$998=$C$5)*(TRANSAKSI_LOG!$J$2:$J$998=F$7)*(TRANSAKSI_LOG!$E$2:$E$998&lt;=$B70)*(TRANSAKSI_LOG!$F$2:$F$998&gt;=$B70),0),0)),"")</f>
        <v/>
      </c>
      <c r="G70" s="66" t="str">
        <f t="array" ref="G70">IFERROR(INDEX(TRANSAKSI_LOG!$M$2:$M$998,MATCH(1,INDEX((TRANSAKSI_LOG!$C$2:$C$998=$C$5)*(TRANSAKSI_LOG!$J$2:$J$998=G$7)*(TRANSAKSI_LOG!$E$2:$E$998&lt;=$B70)*(TRANSAKSI_LOG!$F$2:$F$998&gt;=$B70),0),0)) &amp; " - " &amp; INDEX(TRANSAKSI_LOG!$H$2:$H$998,MATCH(1,INDEX((TRANSAKSI_LOG!$C$2:$C$998=$C$5)*(TRANSAKSI_LOG!$J$2:$J$998=G$7)*(TRANSAKSI_LOG!$E$2:$E$998&lt;=$B70)*(TRANSAKSI_LOG!$F$2:$F$998&gt;=$B70),0),0)),"")</f>
        <v/>
      </c>
      <c r="H70" s="66" t="str">
        <f t="array" ref="H70">IFERROR(INDEX(TRANSAKSI_LOG!$M$2:$M$998,MATCH(1,INDEX((TRANSAKSI_LOG!$C$2:$C$998=$C$5)*(TRANSAKSI_LOG!$J$2:$J$998=H$7)*(TRANSAKSI_LOG!$E$2:$E$998&lt;=$B70)*(TRANSAKSI_LOG!$F$2:$F$998&gt;=$B70),0),0)) &amp; " - " &amp; INDEX(TRANSAKSI_LOG!$H$2:$H$998,MATCH(1,INDEX((TRANSAKSI_LOG!$C$2:$C$998=$C$5)*(TRANSAKSI_LOG!$J$2:$J$998=H$7)*(TRANSAKSI_LOG!$E$2:$E$998&lt;=$B70)*(TRANSAKSI_LOG!$F$2:$F$998&gt;=$B70),0),0)),"")</f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13">
        <v>0.5520833333333334</v>
      </c>
      <c r="C71" s="66" t="str">
        <f t="array" ref="C71">IFERROR(INDEX(TRANSAKSI_LOG!$M$2:$M$998,MATCH(1,INDEX((TRANSAKSI_LOG!$C$2:$C$998=$C$5)*(TRANSAKSI_LOG!$J$2:$J$998=C$7)*(TRANSAKSI_LOG!$E$2:$E$998&lt;=$B71)*(TRANSAKSI_LOG!$F$2:$F$998&gt;=$B71),0),0)) &amp; " - " &amp; INDEX(TRANSAKSI_LOG!$H$2:$H$998,MATCH(1,INDEX((TRANSAKSI_LOG!$C$2:$C$998=$C$5)*(TRANSAKSI_LOG!$J$2:$J$998=C$7)*(TRANSAKSI_LOG!$E$2:$E$998&lt;=$B71)*(TRANSAKSI_LOG!$F$2:$F$998&gt;=$B71),0),0)),"")</f>
        <v/>
      </c>
      <c r="D71" s="66" t="str">
        <f t="array" ref="D71">IFERROR(INDEX(TRANSAKSI_LOG!$M$2:$M$998,MATCH(1,INDEX((TRANSAKSI_LOG!$C$2:$C$998=$C$5)*(TRANSAKSI_LOG!$J$2:$J$998=D$7)*(TRANSAKSI_LOG!$E$2:$E$998&lt;=$B71)*(TRANSAKSI_LOG!$F$2:$F$998&gt;=$B71),0),0)) &amp; " - " &amp; INDEX(TRANSAKSI_LOG!$H$2:$H$998,MATCH(1,INDEX((TRANSAKSI_LOG!$C$2:$C$998=$C$5)*(TRANSAKSI_LOG!$J$2:$J$998=D$7)*(TRANSAKSI_LOG!$E$2:$E$998&lt;=$B71)*(TRANSAKSI_LOG!$F$2:$F$998&gt;=$B71),0),0)),"")</f>
        <v/>
      </c>
      <c r="E71" s="66" t="str">
        <f t="array" ref="E71">IFERROR(INDEX(TRANSAKSI_LOG!$M$2:$M$998,MATCH(1,INDEX((TRANSAKSI_LOG!$C$2:$C$998=$C$5)*(TRANSAKSI_LOG!$J$2:$J$998=E$7)*(TRANSAKSI_LOG!$E$2:$E$998&lt;=$B71)*(TRANSAKSI_LOG!$F$2:$F$998&gt;=$B71),0),0)) &amp; " - " &amp; INDEX(TRANSAKSI_LOG!$H$2:$H$998,MATCH(1,INDEX((TRANSAKSI_LOG!$C$2:$C$998=$C$5)*(TRANSAKSI_LOG!$J$2:$J$998=E$7)*(TRANSAKSI_LOG!$E$2:$E$998&lt;=$B71)*(TRANSAKSI_LOG!$F$2:$F$998&gt;=$B71),0),0)),"")</f>
        <v/>
      </c>
      <c r="F71" s="66" t="str">
        <f t="array" ref="F71">IFERROR(INDEX(TRANSAKSI_LOG!$M$2:$M$998,MATCH(1,INDEX((TRANSAKSI_LOG!$C$2:$C$998=$C$5)*(TRANSAKSI_LOG!$J$2:$J$998=F$7)*(TRANSAKSI_LOG!$E$2:$E$998&lt;=$B71)*(TRANSAKSI_LOG!$F$2:$F$998&gt;=$B71),0),0)) &amp; " - " &amp; INDEX(TRANSAKSI_LOG!$H$2:$H$998,MATCH(1,INDEX((TRANSAKSI_LOG!$C$2:$C$998=$C$5)*(TRANSAKSI_LOG!$J$2:$J$998=F$7)*(TRANSAKSI_LOG!$E$2:$E$998&lt;=$B71)*(TRANSAKSI_LOG!$F$2:$F$998&gt;=$B71),0),0)),"")</f>
        <v/>
      </c>
      <c r="G71" s="66" t="str">
        <f t="array" ref="G71">IFERROR(INDEX(TRANSAKSI_LOG!$M$2:$M$998,MATCH(1,INDEX((TRANSAKSI_LOG!$C$2:$C$998=$C$5)*(TRANSAKSI_LOG!$J$2:$J$998=G$7)*(TRANSAKSI_LOG!$E$2:$E$998&lt;=$B71)*(TRANSAKSI_LOG!$F$2:$F$998&gt;=$B71),0),0)) &amp; " - " &amp; INDEX(TRANSAKSI_LOG!$H$2:$H$998,MATCH(1,INDEX((TRANSAKSI_LOG!$C$2:$C$998=$C$5)*(TRANSAKSI_LOG!$J$2:$J$998=G$7)*(TRANSAKSI_LOG!$E$2:$E$998&lt;=$B71)*(TRANSAKSI_LOG!$F$2:$F$998&gt;=$B71),0),0)),"")</f>
        <v/>
      </c>
      <c r="H71" s="66" t="str">
        <f t="array" ref="H71">IFERROR(INDEX(TRANSAKSI_LOG!$M$2:$M$998,MATCH(1,INDEX((TRANSAKSI_LOG!$C$2:$C$998=$C$5)*(TRANSAKSI_LOG!$J$2:$J$998=H$7)*(TRANSAKSI_LOG!$E$2:$E$998&lt;=$B71)*(TRANSAKSI_LOG!$F$2:$F$998&gt;=$B71),0),0)) &amp; " - " &amp; INDEX(TRANSAKSI_LOG!$H$2:$H$998,MATCH(1,INDEX((TRANSAKSI_LOG!$C$2:$C$998=$C$5)*(TRANSAKSI_LOG!$J$2:$J$998=H$7)*(TRANSAKSI_LOG!$E$2:$E$998&lt;=$B71)*(TRANSAKSI_LOG!$F$2:$F$998&gt;=$B71),0),0)),"")</f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13">
        <v>0.5555555555555556</v>
      </c>
      <c r="C72" s="66" t="str">
        <f t="array" ref="C72">IFERROR(INDEX(TRANSAKSI_LOG!$M$2:$M$998,MATCH(1,INDEX((TRANSAKSI_LOG!$C$2:$C$998=$C$5)*(TRANSAKSI_LOG!$J$2:$J$998=C$7)*(TRANSAKSI_LOG!$E$2:$E$998&lt;=$B72)*(TRANSAKSI_LOG!$F$2:$F$998&gt;=$B72),0),0)) &amp; " - " &amp; INDEX(TRANSAKSI_LOG!$H$2:$H$998,MATCH(1,INDEX((TRANSAKSI_LOG!$C$2:$C$998=$C$5)*(TRANSAKSI_LOG!$J$2:$J$998=C$7)*(TRANSAKSI_LOG!$E$2:$E$998&lt;=$B72)*(TRANSAKSI_LOG!$F$2:$F$998&gt;=$B72),0),0)),"")</f>
        <v/>
      </c>
      <c r="D72" s="66" t="str">
        <f t="array" ref="D72">IFERROR(INDEX(TRANSAKSI_LOG!$M$2:$M$998,MATCH(1,INDEX((TRANSAKSI_LOG!$C$2:$C$998=$C$5)*(TRANSAKSI_LOG!$J$2:$J$998=D$7)*(TRANSAKSI_LOG!$E$2:$E$998&lt;=$B72)*(TRANSAKSI_LOG!$F$2:$F$998&gt;=$B72),0),0)) &amp; " - " &amp; INDEX(TRANSAKSI_LOG!$H$2:$H$998,MATCH(1,INDEX((TRANSAKSI_LOG!$C$2:$C$998=$C$5)*(TRANSAKSI_LOG!$J$2:$J$998=D$7)*(TRANSAKSI_LOG!$E$2:$E$998&lt;=$B72)*(TRANSAKSI_LOG!$F$2:$F$998&gt;=$B72),0),0)),"")</f>
        <v/>
      </c>
      <c r="E72" s="66" t="str">
        <f t="array" ref="E72">IFERROR(INDEX(TRANSAKSI_LOG!$M$2:$M$998,MATCH(1,INDEX((TRANSAKSI_LOG!$C$2:$C$998=$C$5)*(TRANSAKSI_LOG!$J$2:$J$998=E$7)*(TRANSAKSI_LOG!$E$2:$E$998&lt;=$B72)*(TRANSAKSI_LOG!$F$2:$F$998&gt;=$B72),0),0)) &amp; " - " &amp; INDEX(TRANSAKSI_LOG!$H$2:$H$998,MATCH(1,INDEX((TRANSAKSI_LOG!$C$2:$C$998=$C$5)*(TRANSAKSI_LOG!$J$2:$J$998=E$7)*(TRANSAKSI_LOG!$E$2:$E$998&lt;=$B72)*(TRANSAKSI_LOG!$F$2:$F$998&gt;=$B72),0),0)),"")</f>
        <v/>
      </c>
      <c r="F72" s="66" t="str">
        <f t="array" ref="F72">IFERROR(INDEX(TRANSAKSI_LOG!$M$2:$M$998,MATCH(1,INDEX((TRANSAKSI_LOG!$C$2:$C$998=$C$5)*(TRANSAKSI_LOG!$J$2:$J$998=F$7)*(TRANSAKSI_LOG!$E$2:$E$998&lt;=$B72)*(TRANSAKSI_LOG!$F$2:$F$998&gt;=$B72),0),0)) &amp; " - " &amp; INDEX(TRANSAKSI_LOG!$H$2:$H$998,MATCH(1,INDEX((TRANSAKSI_LOG!$C$2:$C$998=$C$5)*(TRANSAKSI_LOG!$J$2:$J$998=F$7)*(TRANSAKSI_LOG!$E$2:$E$998&lt;=$B72)*(TRANSAKSI_LOG!$F$2:$F$998&gt;=$B72),0),0)),"")</f>
        <v/>
      </c>
      <c r="G72" s="66" t="str">
        <f t="array" ref="G72">IFERROR(INDEX(TRANSAKSI_LOG!$M$2:$M$998,MATCH(1,INDEX((TRANSAKSI_LOG!$C$2:$C$998=$C$5)*(TRANSAKSI_LOG!$J$2:$J$998=G$7)*(TRANSAKSI_LOG!$E$2:$E$998&lt;=$B72)*(TRANSAKSI_LOG!$F$2:$F$998&gt;=$B72),0),0)) &amp; " - " &amp; INDEX(TRANSAKSI_LOG!$H$2:$H$998,MATCH(1,INDEX((TRANSAKSI_LOG!$C$2:$C$998=$C$5)*(TRANSAKSI_LOG!$J$2:$J$998=G$7)*(TRANSAKSI_LOG!$E$2:$E$998&lt;=$B72)*(TRANSAKSI_LOG!$F$2:$F$998&gt;=$B72),0),0)),"")</f>
        <v/>
      </c>
      <c r="H72" s="66" t="str">
        <f t="array" ref="H72">IFERROR(INDEX(TRANSAKSI_LOG!$M$2:$M$998,MATCH(1,INDEX((TRANSAKSI_LOG!$C$2:$C$998=$C$5)*(TRANSAKSI_LOG!$J$2:$J$998=H$7)*(TRANSAKSI_LOG!$E$2:$E$998&lt;=$B72)*(TRANSAKSI_LOG!$F$2:$F$998&gt;=$B72),0),0)) &amp; " - " &amp; INDEX(TRANSAKSI_LOG!$H$2:$H$998,MATCH(1,INDEX((TRANSAKSI_LOG!$C$2:$C$998=$C$5)*(TRANSAKSI_LOG!$J$2:$J$998=H$7)*(TRANSAKSI_LOG!$E$2:$E$998&lt;=$B72)*(TRANSAKSI_LOG!$F$2:$F$998&gt;=$B72),0),0)),"")</f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13">
        <v>0.5590277777777778</v>
      </c>
      <c r="C73" s="66" t="str">
        <f t="array" ref="C73">IFERROR(INDEX(TRANSAKSI_LOG!$M$2:$M$998,MATCH(1,INDEX((TRANSAKSI_LOG!$C$2:$C$998=$C$5)*(TRANSAKSI_LOG!$J$2:$J$998=C$7)*(TRANSAKSI_LOG!$E$2:$E$998&lt;=$B73)*(TRANSAKSI_LOG!$F$2:$F$998&gt;=$B73),0),0)) &amp; " - " &amp; INDEX(TRANSAKSI_LOG!$H$2:$H$998,MATCH(1,INDEX((TRANSAKSI_LOG!$C$2:$C$998=$C$5)*(TRANSAKSI_LOG!$J$2:$J$998=C$7)*(TRANSAKSI_LOG!$E$2:$E$998&lt;=$B73)*(TRANSAKSI_LOG!$F$2:$F$998&gt;=$B73),0),0)),"")</f>
        <v/>
      </c>
      <c r="D73" s="66" t="str">
        <f t="array" ref="D73">IFERROR(INDEX(TRANSAKSI_LOG!$M$2:$M$998,MATCH(1,INDEX((TRANSAKSI_LOG!$C$2:$C$998=$C$5)*(TRANSAKSI_LOG!$J$2:$J$998=D$7)*(TRANSAKSI_LOG!$E$2:$E$998&lt;=$B73)*(TRANSAKSI_LOG!$F$2:$F$998&gt;=$B73),0),0)) &amp; " - " &amp; INDEX(TRANSAKSI_LOG!$H$2:$H$998,MATCH(1,INDEX((TRANSAKSI_LOG!$C$2:$C$998=$C$5)*(TRANSAKSI_LOG!$J$2:$J$998=D$7)*(TRANSAKSI_LOG!$E$2:$E$998&lt;=$B73)*(TRANSAKSI_LOG!$F$2:$F$998&gt;=$B73),0),0)),"")</f>
        <v/>
      </c>
      <c r="E73" s="66" t="str">
        <f t="array" ref="E73">IFERROR(INDEX(TRANSAKSI_LOG!$M$2:$M$998,MATCH(1,INDEX((TRANSAKSI_LOG!$C$2:$C$998=$C$5)*(TRANSAKSI_LOG!$J$2:$J$998=E$7)*(TRANSAKSI_LOG!$E$2:$E$998&lt;=$B73)*(TRANSAKSI_LOG!$F$2:$F$998&gt;=$B73),0),0)) &amp; " - " &amp; INDEX(TRANSAKSI_LOG!$H$2:$H$998,MATCH(1,INDEX((TRANSAKSI_LOG!$C$2:$C$998=$C$5)*(TRANSAKSI_LOG!$J$2:$J$998=E$7)*(TRANSAKSI_LOG!$E$2:$E$998&lt;=$B73)*(TRANSAKSI_LOG!$F$2:$F$998&gt;=$B73),0),0)),"")</f>
        <v/>
      </c>
      <c r="F73" s="66" t="str">
        <f t="array" ref="F73">IFERROR(INDEX(TRANSAKSI_LOG!$M$2:$M$998,MATCH(1,INDEX((TRANSAKSI_LOG!$C$2:$C$998=$C$5)*(TRANSAKSI_LOG!$J$2:$J$998=F$7)*(TRANSAKSI_LOG!$E$2:$E$998&lt;=$B73)*(TRANSAKSI_LOG!$F$2:$F$998&gt;=$B73),0),0)) &amp; " - " &amp; INDEX(TRANSAKSI_LOG!$H$2:$H$998,MATCH(1,INDEX((TRANSAKSI_LOG!$C$2:$C$998=$C$5)*(TRANSAKSI_LOG!$J$2:$J$998=F$7)*(TRANSAKSI_LOG!$E$2:$E$998&lt;=$B73)*(TRANSAKSI_LOG!$F$2:$F$998&gt;=$B73),0),0)),"")</f>
        <v/>
      </c>
      <c r="G73" s="66" t="str">
        <f t="array" ref="G73">IFERROR(INDEX(TRANSAKSI_LOG!$M$2:$M$998,MATCH(1,INDEX((TRANSAKSI_LOG!$C$2:$C$998=$C$5)*(TRANSAKSI_LOG!$J$2:$J$998=G$7)*(TRANSAKSI_LOG!$E$2:$E$998&lt;=$B73)*(TRANSAKSI_LOG!$F$2:$F$998&gt;=$B73),0),0)) &amp; " - " &amp; INDEX(TRANSAKSI_LOG!$H$2:$H$998,MATCH(1,INDEX((TRANSAKSI_LOG!$C$2:$C$998=$C$5)*(TRANSAKSI_LOG!$J$2:$J$998=G$7)*(TRANSAKSI_LOG!$E$2:$E$998&lt;=$B73)*(TRANSAKSI_LOG!$F$2:$F$998&gt;=$B73),0),0)),"")</f>
        <v/>
      </c>
      <c r="H73" s="66" t="str">
        <f t="array" ref="H73">IFERROR(INDEX(TRANSAKSI_LOG!$M$2:$M$998,MATCH(1,INDEX((TRANSAKSI_LOG!$C$2:$C$998=$C$5)*(TRANSAKSI_LOG!$J$2:$J$998=H$7)*(TRANSAKSI_LOG!$E$2:$E$998&lt;=$B73)*(TRANSAKSI_LOG!$F$2:$F$998&gt;=$B73),0),0)) &amp; " - " &amp; INDEX(TRANSAKSI_LOG!$H$2:$H$998,MATCH(1,INDEX((TRANSAKSI_LOG!$C$2:$C$998=$C$5)*(TRANSAKSI_LOG!$J$2:$J$998=H$7)*(TRANSAKSI_LOG!$E$2:$E$998&lt;=$B73)*(TRANSAKSI_LOG!$F$2:$F$998&gt;=$B73),0),0)),"")</f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13">
        <v>0.5625</v>
      </c>
      <c r="C74" s="66" t="str">
        <f t="array" ref="C74">IFERROR(INDEX(TRANSAKSI_LOG!$M$2:$M$998,MATCH(1,INDEX((TRANSAKSI_LOG!$C$2:$C$998=$C$5)*(TRANSAKSI_LOG!$J$2:$J$998=C$7)*(TRANSAKSI_LOG!$E$2:$E$998&lt;=$B74)*(TRANSAKSI_LOG!$F$2:$F$998&gt;=$B74),0),0)) &amp; " - " &amp; INDEX(TRANSAKSI_LOG!$H$2:$H$998,MATCH(1,INDEX((TRANSAKSI_LOG!$C$2:$C$998=$C$5)*(TRANSAKSI_LOG!$J$2:$J$998=C$7)*(TRANSAKSI_LOG!$E$2:$E$998&lt;=$B74)*(TRANSAKSI_LOG!$F$2:$F$998&gt;=$B74),0),0)),"")</f>
        <v/>
      </c>
      <c r="D74" s="66" t="str">
        <f t="array" ref="D74">IFERROR(INDEX(TRANSAKSI_LOG!$M$2:$M$998,MATCH(1,INDEX((TRANSAKSI_LOG!$C$2:$C$998=$C$5)*(TRANSAKSI_LOG!$J$2:$J$998=D$7)*(TRANSAKSI_LOG!$E$2:$E$998&lt;=$B74)*(TRANSAKSI_LOG!$F$2:$F$998&gt;=$B74),0),0)) &amp; " - " &amp; INDEX(TRANSAKSI_LOG!$H$2:$H$998,MATCH(1,INDEX((TRANSAKSI_LOG!$C$2:$C$998=$C$5)*(TRANSAKSI_LOG!$J$2:$J$998=D$7)*(TRANSAKSI_LOG!$E$2:$E$998&lt;=$B74)*(TRANSAKSI_LOG!$F$2:$F$998&gt;=$B74),0),0)),"")</f>
        <v/>
      </c>
      <c r="E74" s="66" t="str">
        <f t="array" ref="E74">IFERROR(INDEX(TRANSAKSI_LOG!$M$2:$M$998,MATCH(1,INDEX((TRANSAKSI_LOG!$C$2:$C$998=$C$5)*(TRANSAKSI_LOG!$J$2:$J$998=E$7)*(TRANSAKSI_LOG!$E$2:$E$998&lt;=$B74)*(TRANSAKSI_LOG!$F$2:$F$998&gt;=$B74),0),0)) &amp; " - " &amp; INDEX(TRANSAKSI_LOG!$H$2:$H$998,MATCH(1,INDEX((TRANSAKSI_LOG!$C$2:$C$998=$C$5)*(TRANSAKSI_LOG!$J$2:$J$998=E$7)*(TRANSAKSI_LOG!$E$2:$E$998&lt;=$B74)*(TRANSAKSI_LOG!$F$2:$F$998&gt;=$B74),0),0)),"")</f>
        <v/>
      </c>
      <c r="F74" s="66" t="str">
        <f t="array" ref="F74">IFERROR(INDEX(TRANSAKSI_LOG!$M$2:$M$998,MATCH(1,INDEX((TRANSAKSI_LOG!$C$2:$C$998=$C$5)*(TRANSAKSI_LOG!$J$2:$J$998=F$7)*(TRANSAKSI_LOG!$E$2:$E$998&lt;=$B74)*(TRANSAKSI_LOG!$F$2:$F$998&gt;=$B74),0),0)) &amp; " - " &amp; INDEX(TRANSAKSI_LOG!$H$2:$H$998,MATCH(1,INDEX((TRANSAKSI_LOG!$C$2:$C$998=$C$5)*(TRANSAKSI_LOG!$J$2:$J$998=F$7)*(TRANSAKSI_LOG!$E$2:$E$998&lt;=$B74)*(TRANSAKSI_LOG!$F$2:$F$998&gt;=$B74),0),0)),"")</f>
        <v/>
      </c>
      <c r="G74" s="66" t="str">
        <f t="array" ref="G74">IFERROR(INDEX(TRANSAKSI_LOG!$M$2:$M$998,MATCH(1,INDEX((TRANSAKSI_LOG!$C$2:$C$998=$C$5)*(TRANSAKSI_LOG!$J$2:$J$998=G$7)*(TRANSAKSI_LOG!$E$2:$E$998&lt;=$B74)*(TRANSAKSI_LOG!$F$2:$F$998&gt;=$B74),0),0)) &amp; " - " &amp; INDEX(TRANSAKSI_LOG!$H$2:$H$998,MATCH(1,INDEX((TRANSAKSI_LOG!$C$2:$C$998=$C$5)*(TRANSAKSI_LOG!$J$2:$J$998=G$7)*(TRANSAKSI_LOG!$E$2:$E$998&lt;=$B74)*(TRANSAKSI_LOG!$F$2:$F$998&gt;=$B74),0),0)),"")</f>
        <v/>
      </c>
      <c r="H74" s="66" t="str">
        <f t="array" ref="H74">IFERROR(INDEX(TRANSAKSI_LOG!$M$2:$M$998,MATCH(1,INDEX((TRANSAKSI_LOG!$C$2:$C$998=$C$5)*(TRANSAKSI_LOG!$J$2:$J$998=H$7)*(TRANSAKSI_LOG!$E$2:$E$998&lt;=$B74)*(TRANSAKSI_LOG!$F$2:$F$998&gt;=$B74),0),0)) &amp; " - " &amp; INDEX(TRANSAKSI_LOG!$H$2:$H$998,MATCH(1,INDEX((TRANSAKSI_LOG!$C$2:$C$998=$C$5)*(TRANSAKSI_LOG!$J$2:$J$998=H$7)*(TRANSAKSI_LOG!$E$2:$E$998&lt;=$B74)*(TRANSAKSI_LOG!$F$2:$F$998&gt;=$B74),0),0)),"")</f>
        <v/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13">
        <v>0.5659722222222222</v>
      </c>
      <c r="C75" s="66" t="str">
        <f t="array" ref="C75">IFERROR(INDEX(TRANSAKSI_LOG!$M$2:$M$998,MATCH(1,INDEX((TRANSAKSI_LOG!$C$2:$C$998=$C$5)*(TRANSAKSI_LOG!$J$2:$J$998=C$7)*(TRANSAKSI_LOG!$E$2:$E$998&lt;=$B75)*(TRANSAKSI_LOG!$F$2:$F$998&gt;=$B75),0),0)) &amp; " - " &amp; INDEX(TRANSAKSI_LOG!$H$2:$H$998,MATCH(1,INDEX((TRANSAKSI_LOG!$C$2:$C$998=$C$5)*(TRANSAKSI_LOG!$J$2:$J$998=C$7)*(TRANSAKSI_LOG!$E$2:$E$998&lt;=$B75)*(TRANSAKSI_LOG!$F$2:$F$998&gt;=$B75),0),0)),"")</f>
        <v/>
      </c>
      <c r="D75" s="66" t="str">
        <f t="array" ref="D75">IFERROR(INDEX(TRANSAKSI_LOG!$M$2:$M$998,MATCH(1,INDEX((TRANSAKSI_LOG!$C$2:$C$998=$C$5)*(TRANSAKSI_LOG!$J$2:$J$998=D$7)*(TRANSAKSI_LOG!$E$2:$E$998&lt;=$B75)*(TRANSAKSI_LOG!$F$2:$F$998&gt;=$B75),0),0)) &amp; " - " &amp; INDEX(TRANSAKSI_LOG!$H$2:$H$998,MATCH(1,INDEX((TRANSAKSI_LOG!$C$2:$C$998=$C$5)*(TRANSAKSI_LOG!$J$2:$J$998=D$7)*(TRANSAKSI_LOG!$E$2:$E$998&lt;=$B75)*(TRANSAKSI_LOG!$F$2:$F$998&gt;=$B75),0),0)),"")</f>
        <v/>
      </c>
      <c r="E75" s="66" t="str">
        <f t="array" ref="E75">IFERROR(INDEX(TRANSAKSI_LOG!$M$2:$M$998,MATCH(1,INDEX((TRANSAKSI_LOG!$C$2:$C$998=$C$5)*(TRANSAKSI_LOG!$J$2:$J$998=E$7)*(TRANSAKSI_LOG!$E$2:$E$998&lt;=$B75)*(TRANSAKSI_LOG!$F$2:$F$998&gt;=$B75),0),0)) &amp; " - " &amp; INDEX(TRANSAKSI_LOG!$H$2:$H$998,MATCH(1,INDEX((TRANSAKSI_LOG!$C$2:$C$998=$C$5)*(TRANSAKSI_LOG!$J$2:$J$998=E$7)*(TRANSAKSI_LOG!$E$2:$E$998&lt;=$B75)*(TRANSAKSI_LOG!$F$2:$F$998&gt;=$B75),0),0)),"")</f>
        <v/>
      </c>
      <c r="F75" s="66" t="str">
        <f t="array" ref="F75">IFERROR(INDEX(TRANSAKSI_LOG!$M$2:$M$998,MATCH(1,INDEX((TRANSAKSI_LOG!$C$2:$C$998=$C$5)*(TRANSAKSI_LOG!$J$2:$J$998=F$7)*(TRANSAKSI_LOG!$E$2:$E$998&lt;=$B75)*(TRANSAKSI_LOG!$F$2:$F$998&gt;=$B75),0),0)) &amp; " - " &amp; INDEX(TRANSAKSI_LOG!$H$2:$H$998,MATCH(1,INDEX((TRANSAKSI_LOG!$C$2:$C$998=$C$5)*(TRANSAKSI_LOG!$J$2:$J$998=F$7)*(TRANSAKSI_LOG!$E$2:$E$998&lt;=$B75)*(TRANSAKSI_LOG!$F$2:$F$998&gt;=$B75),0),0)),"")</f>
        <v/>
      </c>
      <c r="G75" s="66" t="str">
        <f t="array" ref="G75">IFERROR(INDEX(TRANSAKSI_LOG!$M$2:$M$998,MATCH(1,INDEX((TRANSAKSI_LOG!$C$2:$C$998=$C$5)*(TRANSAKSI_LOG!$J$2:$J$998=G$7)*(TRANSAKSI_LOG!$E$2:$E$998&lt;=$B75)*(TRANSAKSI_LOG!$F$2:$F$998&gt;=$B75),0),0)) &amp; " - " &amp; INDEX(TRANSAKSI_LOG!$H$2:$H$998,MATCH(1,INDEX((TRANSAKSI_LOG!$C$2:$C$998=$C$5)*(TRANSAKSI_LOG!$J$2:$J$998=G$7)*(TRANSAKSI_LOG!$E$2:$E$998&lt;=$B75)*(TRANSAKSI_LOG!$F$2:$F$998&gt;=$B75),0),0)),"")</f>
        <v/>
      </c>
      <c r="H75" s="66" t="str">
        <f t="array" ref="H75">IFERROR(INDEX(TRANSAKSI_LOG!$M$2:$M$998,MATCH(1,INDEX((TRANSAKSI_LOG!$C$2:$C$998=$C$5)*(TRANSAKSI_LOG!$J$2:$J$998=H$7)*(TRANSAKSI_LOG!$E$2:$E$998&lt;=$B75)*(TRANSAKSI_LOG!$F$2:$F$998&gt;=$B75),0),0)) &amp; " - " &amp; INDEX(TRANSAKSI_LOG!$H$2:$H$998,MATCH(1,INDEX((TRANSAKSI_LOG!$C$2:$C$998=$C$5)*(TRANSAKSI_LOG!$J$2:$J$998=H$7)*(TRANSAKSI_LOG!$E$2:$E$998&lt;=$B75)*(TRANSAKSI_LOG!$F$2:$F$998&gt;=$B75),0),0)),"")</f>
        <v/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13">
        <v>0.5694444444444444</v>
      </c>
      <c r="C76" s="66" t="str">
        <f t="array" ref="C76">IFERROR(INDEX(TRANSAKSI_LOG!$M$2:$M$998,MATCH(1,INDEX((TRANSAKSI_LOG!$C$2:$C$998=$C$5)*(TRANSAKSI_LOG!$J$2:$J$998=C$7)*(TRANSAKSI_LOG!$E$2:$E$998&lt;=$B76)*(TRANSAKSI_LOG!$F$2:$F$998&gt;=$B76),0),0)) &amp; " - " &amp; INDEX(TRANSAKSI_LOG!$H$2:$H$998,MATCH(1,INDEX((TRANSAKSI_LOG!$C$2:$C$998=$C$5)*(TRANSAKSI_LOG!$J$2:$J$998=C$7)*(TRANSAKSI_LOG!$E$2:$E$998&lt;=$B76)*(TRANSAKSI_LOG!$F$2:$F$998&gt;=$B76),0),0)),"")</f>
        <v/>
      </c>
      <c r="D76" s="66" t="str">
        <f t="array" ref="D76">IFERROR(INDEX(TRANSAKSI_LOG!$M$2:$M$998,MATCH(1,INDEX((TRANSAKSI_LOG!$C$2:$C$998=$C$5)*(TRANSAKSI_LOG!$J$2:$J$998=D$7)*(TRANSAKSI_LOG!$E$2:$E$998&lt;=$B76)*(TRANSAKSI_LOG!$F$2:$F$998&gt;=$B76),0),0)) &amp; " - " &amp; INDEX(TRANSAKSI_LOG!$H$2:$H$998,MATCH(1,INDEX((TRANSAKSI_LOG!$C$2:$C$998=$C$5)*(TRANSAKSI_LOG!$J$2:$J$998=D$7)*(TRANSAKSI_LOG!$E$2:$E$998&lt;=$B76)*(TRANSAKSI_LOG!$F$2:$F$998&gt;=$B76),0),0)),"")</f>
        <v/>
      </c>
      <c r="E76" s="66" t="str">
        <f t="array" ref="E76">IFERROR(INDEX(TRANSAKSI_LOG!$M$2:$M$998,MATCH(1,INDEX((TRANSAKSI_LOG!$C$2:$C$998=$C$5)*(TRANSAKSI_LOG!$J$2:$J$998=E$7)*(TRANSAKSI_LOG!$E$2:$E$998&lt;=$B76)*(TRANSAKSI_LOG!$F$2:$F$998&gt;=$B76),0),0)) &amp; " - " &amp; INDEX(TRANSAKSI_LOG!$H$2:$H$998,MATCH(1,INDEX((TRANSAKSI_LOG!$C$2:$C$998=$C$5)*(TRANSAKSI_LOG!$J$2:$J$998=E$7)*(TRANSAKSI_LOG!$E$2:$E$998&lt;=$B76)*(TRANSAKSI_LOG!$F$2:$F$998&gt;=$B76),0),0)),"")</f>
        <v/>
      </c>
      <c r="F76" s="66" t="str">
        <f t="array" ref="F76">IFERROR(INDEX(TRANSAKSI_LOG!$M$2:$M$998,MATCH(1,INDEX((TRANSAKSI_LOG!$C$2:$C$998=$C$5)*(TRANSAKSI_LOG!$J$2:$J$998=F$7)*(TRANSAKSI_LOG!$E$2:$E$998&lt;=$B76)*(TRANSAKSI_LOG!$F$2:$F$998&gt;=$B76),0),0)) &amp; " - " &amp; INDEX(TRANSAKSI_LOG!$H$2:$H$998,MATCH(1,INDEX((TRANSAKSI_LOG!$C$2:$C$998=$C$5)*(TRANSAKSI_LOG!$J$2:$J$998=F$7)*(TRANSAKSI_LOG!$E$2:$E$998&lt;=$B76)*(TRANSAKSI_LOG!$F$2:$F$998&gt;=$B76),0),0)),"")</f>
        <v/>
      </c>
      <c r="G76" s="66" t="str">
        <f t="array" ref="G76">IFERROR(INDEX(TRANSAKSI_LOG!$M$2:$M$998,MATCH(1,INDEX((TRANSAKSI_LOG!$C$2:$C$998=$C$5)*(TRANSAKSI_LOG!$J$2:$J$998=G$7)*(TRANSAKSI_LOG!$E$2:$E$998&lt;=$B76)*(TRANSAKSI_LOG!$F$2:$F$998&gt;=$B76),0),0)) &amp; " - " &amp; INDEX(TRANSAKSI_LOG!$H$2:$H$998,MATCH(1,INDEX((TRANSAKSI_LOG!$C$2:$C$998=$C$5)*(TRANSAKSI_LOG!$J$2:$J$998=G$7)*(TRANSAKSI_LOG!$E$2:$E$998&lt;=$B76)*(TRANSAKSI_LOG!$F$2:$F$998&gt;=$B76),0),0)),"")</f>
        <v/>
      </c>
      <c r="H76" s="66" t="str">
        <f t="array" ref="H76">IFERROR(INDEX(TRANSAKSI_LOG!$M$2:$M$998,MATCH(1,INDEX((TRANSAKSI_LOG!$C$2:$C$998=$C$5)*(TRANSAKSI_LOG!$J$2:$J$998=H$7)*(TRANSAKSI_LOG!$E$2:$E$998&lt;=$B76)*(TRANSAKSI_LOG!$F$2:$F$998&gt;=$B76),0),0)) &amp; " - " &amp; INDEX(TRANSAKSI_LOG!$H$2:$H$998,MATCH(1,INDEX((TRANSAKSI_LOG!$C$2:$C$998=$C$5)*(TRANSAKSI_LOG!$J$2:$J$998=H$7)*(TRANSAKSI_LOG!$E$2:$E$998&lt;=$B76)*(TRANSAKSI_LOG!$F$2:$F$998&gt;=$B76),0),0)),"")</f>
        <v/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13">
        <v>0.5729166666666666</v>
      </c>
      <c r="C77" s="66" t="str">
        <f t="array" ref="C77">IFERROR(INDEX(TRANSAKSI_LOG!$M$2:$M$998,MATCH(1,INDEX((TRANSAKSI_LOG!$C$2:$C$998=$C$5)*(TRANSAKSI_LOG!$J$2:$J$998=C$7)*(TRANSAKSI_LOG!$E$2:$E$998&lt;=$B77)*(TRANSAKSI_LOG!$F$2:$F$998&gt;=$B77),0),0)) &amp; " - " &amp; INDEX(TRANSAKSI_LOG!$H$2:$H$998,MATCH(1,INDEX((TRANSAKSI_LOG!$C$2:$C$998=$C$5)*(TRANSAKSI_LOG!$J$2:$J$998=C$7)*(TRANSAKSI_LOG!$E$2:$E$998&lt;=$B77)*(TRANSAKSI_LOG!$F$2:$F$998&gt;=$B77),0),0)),"")</f>
        <v/>
      </c>
      <c r="D77" s="66" t="str">
        <f t="array" ref="D77">IFERROR(INDEX(TRANSAKSI_LOG!$M$2:$M$998,MATCH(1,INDEX((TRANSAKSI_LOG!$C$2:$C$998=$C$5)*(TRANSAKSI_LOG!$J$2:$J$998=D$7)*(TRANSAKSI_LOG!$E$2:$E$998&lt;=$B77)*(TRANSAKSI_LOG!$F$2:$F$998&gt;=$B77),0),0)) &amp; " - " &amp; INDEX(TRANSAKSI_LOG!$H$2:$H$998,MATCH(1,INDEX((TRANSAKSI_LOG!$C$2:$C$998=$C$5)*(TRANSAKSI_LOG!$J$2:$J$998=D$7)*(TRANSAKSI_LOG!$E$2:$E$998&lt;=$B77)*(TRANSAKSI_LOG!$F$2:$F$998&gt;=$B77),0),0)),"")</f>
        <v/>
      </c>
      <c r="E77" s="66" t="str">
        <f t="array" ref="E77">IFERROR(INDEX(TRANSAKSI_LOG!$M$2:$M$998,MATCH(1,INDEX((TRANSAKSI_LOG!$C$2:$C$998=$C$5)*(TRANSAKSI_LOG!$J$2:$J$998=E$7)*(TRANSAKSI_LOG!$E$2:$E$998&lt;=$B77)*(TRANSAKSI_LOG!$F$2:$F$998&gt;=$B77),0),0)) &amp; " - " &amp; INDEX(TRANSAKSI_LOG!$H$2:$H$998,MATCH(1,INDEX((TRANSAKSI_LOG!$C$2:$C$998=$C$5)*(TRANSAKSI_LOG!$J$2:$J$998=E$7)*(TRANSAKSI_LOG!$E$2:$E$998&lt;=$B77)*(TRANSAKSI_LOG!$F$2:$F$998&gt;=$B77),0),0)),"")</f>
        <v/>
      </c>
      <c r="F77" s="66" t="str">
        <f t="array" ref="F77">IFERROR(INDEX(TRANSAKSI_LOG!$M$2:$M$998,MATCH(1,INDEX((TRANSAKSI_LOG!$C$2:$C$998=$C$5)*(TRANSAKSI_LOG!$J$2:$J$998=F$7)*(TRANSAKSI_LOG!$E$2:$E$998&lt;=$B77)*(TRANSAKSI_LOG!$F$2:$F$998&gt;=$B77),0),0)) &amp; " - " &amp; INDEX(TRANSAKSI_LOG!$H$2:$H$998,MATCH(1,INDEX((TRANSAKSI_LOG!$C$2:$C$998=$C$5)*(TRANSAKSI_LOG!$J$2:$J$998=F$7)*(TRANSAKSI_LOG!$E$2:$E$998&lt;=$B77)*(TRANSAKSI_LOG!$F$2:$F$998&gt;=$B77),0),0)),"")</f>
        <v/>
      </c>
      <c r="G77" s="66" t="str">
        <f t="array" ref="G77">IFERROR(INDEX(TRANSAKSI_LOG!$M$2:$M$998,MATCH(1,INDEX((TRANSAKSI_LOG!$C$2:$C$998=$C$5)*(TRANSAKSI_LOG!$J$2:$J$998=G$7)*(TRANSAKSI_LOG!$E$2:$E$998&lt;=$B77)*(TRANSAKSI_LOG!$F$2:$F$998&gt;=$B77),0),0)) &amp; " - " &amp; INDEX(TRANSAKSI_LOG!$H$2:$H$998,MATCH(1,INDEX((TRANSAKSI_LOG!$C$2:$C$998=$C$5)*(TRANSAKSI_LOG!$J$2:$J$998=G$7)*(TRANSAKSI_LOG!$E$2:$E$998&lt;=$B77)*(TRANSAKSI_LOG!$F$2:$F$998&gt;=$B77),0),0)),"")</f>
        <v/>
      </c>
      <c r="H77" s="66" t="str">
        <f t="array" ref="H77">IFERROR(INDEX(TRANSAKSI_LOG!$M$2:$M$998,MATCH(1,INDEX((TRANSAKSI_LOG!$C$2:$C$998=$C$5)*(TRANSAKSI_LOG!$J$2:$J$998=H$7)*(TRANSAKSI_LOG!$E$2:$E$998&lt;=$B77)*(TRANSAKSI_LOG!$F$2:$F$998&gt;=$B77),0),0)) &amp; " - " &amp; INDEX(TRANSAKSI_LOG!$H$2:$H$998,MATCH(1,INDEX((TRANSAKSI_LOG!$C$2:$C$998=$C$5)*(TRANSAKSI_LOG!$J$2:$J$998=H$7)*(TRANSAKSI_LOG!$E$2:$E$998&lt;=$B77)*(TRANSAKSI_LOG!$F$2:$F$998&gt;=$B77),0),0)),"")</f>
        <v/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13">
        <v>0.5763888888888888</v>
      </c>
      <c r="C78" s="66" t="str">
        <f t="array" ref="C78">IFERROR(INDEX(TRANSAKSI_LOG!$M$2:$M$998,MATCH(1,INDEX((TRANSAKSI_LOG!$C$2:$C$998=$C$5)*(TRANSAKSI_LOG!$J$2:$J$998=C$7)*(TRANSAKSI_LOG!$E$2:$E$998&lt;=$B78)*(TRANSAKSI_LOG!$F$2:$F$998&gt;=$B78),0),0)) &amp; " - " &amp; INDEX(TRANSAKSI_LOG!$H$2:$H$998,MATCH(1,INDEX((TRANSAKSI_LOG!$C$2:$C$998=$C$5)*(TRANSAKSI_LOG!$J$2:$J$998=C$7)*(TRANSAKSI_LOG!$E$2:$E$998&lt;=$B78)*(TRANSAKSI_LOG!$F$2:$F$998&gt;=$B78),0),0)),"")</f>
        <v/>
      </c>
      <c r="D78" s="66" t="str">
        <f t="array" ref="D78">IFERROR(INDEX(TRANSAKSI_LOG!$M$2:$M$998,MATCH(1,INDEX((TRANSAKSI_LOG!$C$2:$C$998=$C$5)*(TRANSAKSI_LOG!$J$2:$J$998=D$7)*(TRANSAKSI_LOG!$E$2:$E$998&lt;=$B78)*(TRANSAKSI_LOG!$F$2:$F$998&gt;=$B78),0),0)) &amp; " - " &amp; INDEX(TRANSAKSI_LOG!$H$2:$H$998,MATCH(1,INDEX((TRANSAKSI_LOG!$C$2:$C$998=$C$5)*(TRANSAKSI_LOG!$J$2:$J$998=D$7)*(TRANSAKSI_LOG!$E$2:$E$998&lt;=$B78)*(TRANSAKSI_LOG!$F$2:$F$998&gt;=$B78),0),0)),"")</f>
        <v/>
      </c>
      <c r="E78" s="66" t="str">
        <f t="array" ref="E78">IFERROR(INDEX(TRANSAKSI_LOG!$M$2:$M$998,MATCH(1,INDEX((TRANSAKSI_LOG!$C$2:$C$998=$C$5)*(TRANSAKSI_LOG!$J$2:$J$998=E$7)*(TRANSAKSI_LOG!$E$2:$E$998&lt;=$B78)*(TRANSAKSI_LOG!$F$2:$F$998&gt;=$B78),0),0)) &amp; " - " &amp; INDEX(TRANSAKSI_LOG!$H$2:$H$998,MATCH(1,INDEX((TRANSAKSI_LOG!$C$2:$C$998=$C$5)*(TRANSAKSI_LOG!$J$2:$J$998=E$7)*(TRANSAKSI_LOG!$E$2:$E$998&lt;=$B78)*(TRANSAKSI_LOG!$F$2:$F$998&gt;=$B78),0),0)),"")</f>
        <v/>
      </c>
      <c r="F78" s="66" t="str">
        <f t="array" ref="F78">IFERROR(INDEX(TRANSAKSI_LOG!$M$2:$M$998,MATCH(1,INDEX((TRANSAKSI_LOG!$C$2:$C$998=$C$5)*(TRANSAKSI_LOG!$J$2:$J$998=F$7)*(TRANSAKSI_LOG!$E$2:$E$998&lt;=$B78)*(TRANSAKSI_LOG!$F$2:$F$998&gt;=$B78),0),0)) &amp; " - " &amp; INDEX(TRANSAKSI_LOG!$H$2:$H$998,MATCH(1,INDEX((TRANSAKSI_LOG!$C$2:$C$998=$C$5)*(TRANSAKSI_LOG!$J$2:$J$998=F$7)*(TRANSAKSI_LOG!$E$2:$E$998&lt;=$B78)*(TRANSAKSI_LOG!$F$2:$F$998&gt;=$B78),0),0)),"")</f>
        <v/>
      </c>
      <c r="G78" s="66" t="str">
        <f t="array" ref="G78">IFERROR(INDEX(TRANSAKSI_LOG!$M$2:$M$998,MATCH(1,INDEX((TRANSAKSI_LOG!$C$2:$C$998=$C$5)*(TRANSAKSI_LOG!$J$2:$J$998=G$7)*(TRANSAKSI_LOG!$E$2:$E$998&lt;=$B78)*(TRANSAKSI_LOG!$F$2:$F$998&gt;=$B78),0),0)) &amp; " - " &amp; INDEX(TRANSAKSI_LOG!$H$2:$H$998,MATCH(1,INDEX((TRANSAKSI_LOG!$C$2:$C$998=$C$5)*(TRANSAKSI_LOG!$J$2:$J$998=G$7)*(TRANSAKSI_LOG!$E$2:$E$998&lt;=$B78)*(TRANSAKSI_LOG!$F$2:$F$998&gt;=$B78),0),0)),"")</f>
        <v/>
      </c>
      <c r="H78" s="66" t="str">
        <f t="array" ref="H78">IFERROR(INDEX(TRANSAKSI_LOG!$M$2:$M$998,MATCH(1,INDEX((TRANSAKSI_LOG!$C$2:$C$998=$C$5)*(TRANSAKSI_LOG!$J$2:$J$998=H$7)*(TRANSAKSI_LOG!$E$2:$E$998&lt;=$B78)*(TRANSAKSI_LOG!$F$2:$F$998&gt;=$B78),0),0)) &amp; " - " &amp; INDEX(TRANSAKSI_LOG!$H$2:$H$998,MATCH(1,INDEX((TRANSAKSI_LOG!$C$2:$C$998=$C$5)*(TRANSAKSI_LOG!$J$2:$J$998=H$7)*(TRANSAKSI_LOG!$E$2:$E$998&lt;=$B78)*(TRANSAKSI_LOG!$F$2:$F$998&gt;=$B78),0),0)),"")</f>
        <v/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13">
        <v>0.5798611111111112</v>
      </c>
      <c r="C79" s="66" t="str">
        <f t="array" ref="C79">IFERROR(INDEX(TRANSAKSI_LOG!$M$2:$M$998,MATCH(1,INDEX((TRANSAKSI_LOG!$C$2:$C$998=$C$5)*(TRANSAKSI_LOG!$J$2:$J$998=C$7)*(TRANSAKSI_LOG!$E$2:$E$998&lt;=$B79)*(TRANSAKSI_LOG!$F$2:$F$998&gt;=$B79),0),0)) &amp; " - " &amp; INDEX(TRANSAKSI_LOG!$H$2:$H$998,MATCH(1,INDEX((TRANSAKSI_LOG!$C$2:$C$998=$C$5)*(TRANSAKSI_LOG!$J$2:$J$998=C$7)*(TRANSAKSI_LOG!$E$2:$E$998&lt;=$B79)*(TRANSAKSI_LOG!$F$2:$F$998&gt;=$B79),0),0)),"")</f>
        <v/>
      </c>
      <c r="D79" s="66" t="str">
        <f t="array" ref="D79">IFERROR(INDEX(TRANSAKSI_LOG!$M$2:$M$998,MATCH(1,INDEX((TRANSAKSI_LOG!$C$2:$C$998=$C$5)*(TRANSAKSI_LOG!$J$2:$J$998=D$7)*(TRANSAKSI_LOG!$E$2:$E$998&lt;=$B79)*(TRANSAKSI_LOG!$F$2:$F$998&gt;=$B79),0),0)) &amp; " - " &amp; INDEX(TRANSAKSI_LOG!$H$2:$H$998,MATCH(1,INDEX((TRANSAKSI_LOG!$C$2:$C$998=$C$5)*(TRANSAKSI_LOG!$J$2:$J$998=D$7)*(TRANSAKSI_LOG!$E$2:$E$998&lt;=$B79)*(TRANSAKSI_LOG!$F$2:$F$998&gt;=$B79),0),0)),"")</f>
        <v/>
      </c>
      <c r="E79" s="66" t="str">
        <f t="array" ref="E79">IFERROR(INDEX(TRANSAKSI_LOG!$M$2:$M$998,MATCH(1,INDEX((TRANSAKSI_LOG!$C$2:$C$998=$C$5)*(TRANSAKSI_LOG!$J$2:$J$998=E$7)*(TRANSAKSI_LOG!$E$2:$E$998&lt;=$B79)*(TRANSAKSI_LOG!$F$2:$F$998&gt;=$B79),0),0)) &amp; " - " &amp; INDEX(TRANSAKSI_LOG!$H$2:$H$998,MATCH(1,INDEX((TRANSAKSI_LOG!$C$2:$C$998=$C$5)*(TRANSAKSI_LOG!$J$2:$J$998=E$7)*(TRANSAKSI_LOG!$E$2:$E$998&lt;=$B79)*(TRANSAKSI_LOG!$F$2:$F$998&gt;=$B79),0),0)),"")</f>
        <v/>
      </c>
      <c r="F79" s="66" t="str">
        <f t="array" ref="F79">IFERROR(INDEX(TRANSAKSI_LOG!$M$2:$M$998,MATCH(1,INDEX((TRANSAKSI_LOG!$C$2:$C$998=$C$5)*(TRANSAKSI_LOG!$J$2:$J$998=F$7)*(TRANSAKSI_LOG!$E$2:$E$998&lt;=$B79)*(TRANSAKSI_LOG!$F$2:$F$998&gt;=$B79),0),0)) &amp; " - " &amp; INDEX(TRANSAKSI_LOG!$H$2:$H$998,MATCH(1,INDEX((TRANSAKSI_LOG!$C$2:$C$998=$C$5)*(TRANSAKSI_LOG!$J$2:$J$998=F$7)*(TRANSAKSI_LOG!$E$2:$E$998&lt;=$B79)*(TRANSAKSI_LOG!$F$2:$F$998&gt;=$B79),0),0)),"")</f>
        <v/>
      </c>
      <c r="G79" s="66" t="str">
        <f t="array" ref="G79">IFERROR(INDEX(TRANSAKSI_LOG!$M$2:$M$998,MATCH(1,INDEX((TRANSAKSI_LOG!$C$2:$C$998=$C$5)*(TRANSAKSI_LOG!$J$2:$J$998=G$7)*(TRANSAKSI_LOG!$E$2:$E$998&lt;=$B79)*(TRANSAKSI_LOG!$F$2:$F$998&gt;=$B79),0),0)) &amp; " - " &amp; INDEX(TRANSAKSI_LOG!$H$2:$H$998,MATCH(1,INDEX((TRANSAKSI_LOG!$C$2:$C$998=$C$5)*(TRANSAKSI_LOG!$J$2:$J$998=G$7)*(TRANSAKSI_LOG!$E$2:$E$998&lt;=$B79)*(TRANSAKSI_LOG!$F$2:$F$998&gt;=$B79),0),0)),"")</f>
        <v/>
      </c>
      <c r="H79" s="66" t="str">
        <f t="array" ref="H79">IFERROR(INDEX(TRANSAKSI_LOG!$M$2:$M$998,MATCH(1,INDEX((TRANSAKSI_LOG!$C$2:$C$998=$C$5)*(TRANSAKSI_LOG!$J$2:$J$998=H$7)*(TRANSAKSI_LOG!$E$2:$E$998&lt;=$B79)*(TRANSAKSI_LOG!$F$2:$F$998&gt;=$B79),0),0)) &amp; " - " &amp; INDEX(TRANSAKSI_LOG!$H$2:$H$998,MATCH(1,INDEX((TRANSAKSI_LOG!$C$2:$C$998=$C$5)*(TRANSAKSI_LOG!$J$2:$J$998=H$7)*(TRANSAKSI_LOG!$E$2:$E$998&lt;=$B79)*(TRANSAKSI_LOG!$F$2:$F$998&gt;=$B79),0),0)),"")</f>
        <v/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13">
        <v>0.5833333333333334</v>
      </c>
      <c r="C80" s="66" t="str">
        <f t="array" ref="C80">IFERROR(INDEX(TRANSAKSI_LOG!$M$2:$M$998,MATCH(1,INDEX((TRANSAKSI_LOG!$C$2:$C$998=$C$5)*(TRANSAKSI_LOG!$J$2:$J$998=C$7)*(TRANSAKSI_LOG!$E$2:$E$998&lt;=$B80)*(TRANSAKSI_LOG!$F$2:$F$998&gt;=$B80),0),0)) &amp; " - " &amp; INDEX(TRANSAKSI_LOG!$H$2:$H$998,MATCH(1,INDEX((TRANSAKSI_LOG!$C$2:$C$998=$C$5)*(TRANSAKSI_LOG!$J$2:$J$998=C$7)*(TRANSAKSI_LOG!$E$2:$E$998&lt;=$B80)*(TRANSAKSI_LOG!$F$2:$F$998&gt;=$B80),0),0)),"")</f>
        <v/>
      </c>
      <c r="D80" s="66" t="str">
        <f t="array" ref="D80">IFERROR(INDEX(TRANSAKSI_LOG!$M$2:$M$998,MATCH(1,INDEX((TRANSAKSI_LOG!$C$2:$C$998=$C$5)*(TRANSAKSI_LOG!$J$2:$J$998=D$7)*(TRANSAKSI_LOG!$E$2:$E$998&lt;=$B80)*(TRANSAKSI_LOG!$F$2:$F$998&gt;=$B80),0),0)) &amp; " - " &amp; INDEX(TRANSAKSI_LOG!$H$2:$H$998,MATCH(1,INDEX((TRANSAKSI_LOG!$C$2:$C$998=$C$5)*(TRANSAKSI_LOG!$J$2:$J$998=D$7)*(TRANSAKSI_LOG!$E$2:$E$998&lt;=$B80)*(TRANSAKSI_LOG!$F$2:$F$998&gt;=$B80),0),0)),"")</f>
        <v/>
      </c>
      <c r="E80" s="66" t="str">
        <f t="array" ref="E80">IFERROR(INDEX(TRANSAKSI_LOG!$M$2:$M$998,MATCH(1,INDEX((TRANSAKSI_LOG!$C$2:$C$998=$C$5)*(TRANSAKSI_LOG!$J$2:$J$998=E$7)*(TRANSAKSI_LOG!$E$2:$E$998&lt;=$B80)*(TRANSAKSI_LOG!$F$2:$F$998&gt;=$B80),0),0)) &amp; " - " &amp; INDEX(TRANSAKSI_LOG!$H$2:$H$998,MATCH(1,INDEX((TRANSAKSI_LOG!$C$2:$C$998=$C$5)*(TRANSAKSI_LOG!$J$2:$J$998=E$7)*(TRANSAKSI_LOG!$E$2:$E$998&lt;=$B80)*(TRANSAKSI_LOG!$F$2:$F$998&gt;=$B80),0),0)),"")</f>
        <v/>
      </c>
      <c r="F80" s="66" t="str">
        <f t="array" ref="F80">IFERROR(INDEX(TRANSAKSI_LOG!$M$2:$M$998,MATCH(1,INDEX((TRANSAKSI_LOG!$C$2:$C$998=$C$5)*(TRANSAKSI_LOG!$J$2:$J$998=F$7)*(TRANSAKSI_LOG!$E$2:$E$998&lt;=$B80)*(TRANSAKSI_LOG!$F$2:$F$998&gt;=$B80),0),0)) &amp; " - " &amp; INDEX(TRANSAKSI_LOG!$H$2:$H$998,MATCH(1,INDEX((TRANSAKSI_LOG!$C$2:$C$998=$C$5)*(TRANSAKSI_LOG!$J$2:$J$998=F$7)*(TRANSAKSI_LOG!$E$2:$E$998&lt;=$B80)*(TRANSAKSI_LOG!$F$2:$F$998&gt;=$B80),0),0)),"")</f>
        <v/>
      </c>
      <c r="G80" s="66" t="str">
        <f t="array" ref="G80">IFERROR(INDEX(TRANSAKSI_LOG!$M$2:$M$998,MATCH(1,INDEX((TRANSAKSI_LOG!$C$2:$C$998=$C$5)*(TRANSAKSI_LOG!$J$2:$J$998=G$7)*(TRANSAKSI_LOG!$E$2:$E$998&lt;=$B80)*(TRANSAKSI_LOG!$F$2:$F$998&gt;=$B80),0),0)) &amp; " - " &amp; INDEX(TRANSAKSI_LOG!$H$2:$H$998,MATCH(1,INDEX((TRANSAKSI_LOG!$C$2:$C$998=$C$5)*(TRANSAKSI_LOG!$J$2:$J$998=G$7)*(TRANSAKSI_LOG!$E$2:$E$998&lt;=$B80)*(TRANSAKSI_LOG!$F$2:$F$998&gt;=$B80),0),0)),"")</f>
        <v/>
      </c>
      <c r="H80" s="66" t="str">
        <f t="array" ref="H80">IFERROR(INDEX(TRANSAKSI_LOG!$M$2:$M$998,MATCH(1,INDEX((TRANSAKSI_LOG!$C$2:$C$998=$C$5)*(TRANSAKSI_LOG!$J$2:$J$998=H$7)*(TRANSAKSI_LOG!$E$2:$E$998&lt;=$B80)*(TRANSAKSI_LOG!$F$2:$F$998&gt;=$B80),0),0)) &amp; " - " &amp; INDEX(TRANSAKSI_LOG!$H$2:$H$998,MATCH(1,INDEX((TRANSAKSI_LOG!$C$2:$C$998=$C$5)*(TRANSAKSI_LOG!$J$2:$J$998=H$7)*(TRANSAKSI_LOG!$E$2:$E$998&lt;=$B80)*(TRANSAKSI_LOG!$F$2:$F$998&gt;=$B80),0),0)),"")</f>
        <v/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13">
        <v>0.5868055555555556</v>
      </c>
      <c r="C81" s="66" t="str">
        <f t="array" ref="C81">IFERROR(INDEX(TRANSAKSI_LOG!$M$2:$M$998,MATCH(1,INDEX((TRANSAKSI_LOG!$C$2:$C$998=$C$5)*(TRANSAKSI_LOG!$J$2:$J$998=C$7)*(TRANSAKSI_LOG!$E$2:$E$998&lt;=$B81)*(TRANSAKSI_LOG!$F$2:$F$998&gt;=$B81),0),0)) &amp; " - " &amp; INDEX(TRANSAKSI_LOG!$H$2:$H$998,MATCH(1,INDEX((TRANSAKSI_LOG!$C$2:$C$998=$C$5)*(TRANSAKSI_LOG!$J$2:$J$998=C$7)*(TRANSAKSI_LOG!$E$2:$E$998&lt;=$B81)*(TRANSAKSI_LOG!$F$2:$F$998&gt;=$B81),0),0)),"")</f>
        <v/>
      </c>
      <c r="D81" s="66" t="str">
        <f t="array" ref="D81">IFERROR(INDEX(TRANSAKSI_LOG!$M$2:$M$998,MATCH(1,INDEX((TRANSAKSI_LOG!$C$2:$C$998=$C$5)*(TRANSAKSI_LOG!$J$2:$J$998=D$7)*(TRANSAKSI_LOG!$E$2:$E$998&lt;=$B81)*(TRANSAKSI_LOG!$F$2:$F$998&gt;=$B81),0),0)) &amp; " - " &amp; INDEX(TRANSAKSI_LOG!$H$2:$H$998,MATCH(1,INDEX((TRANSAKSI_LOG!$C$2:$C$998=$C$5)*(TRANSAKSI_LOG!$J$2:$J$998=D$7)*(TRANSAKSI_LOG!$E$2:$E$998&lt;=$B81)*(TRANSAKSI_LOG!$F$2:$F$998&gt;=$B81),0),0)),"")</f>
        <v/>
      </c>
      <c r="E81" s="66" t="str">
        <f t="array" ref="E81">IFERROR(INDEX(TRANSAKSI_LOG!$M$2:$M$998,MATCH(1,INDEX((TRANSAKSI_LOG!$C$2:$C$998=$C$5)*(TRANSAKSI_LOG!$J$2:$J$998=E$7)*(TRANSAKSI_LOG!$E$2:$E$998&lt;=$B81)*(TRANSAKSI_LOG!$F$2:$F$998&gt;=$B81),0),0)) &amp; " - " &amp; INDEX(TRANSAKSI_LOG!$H$2:$H$998,MATCH(1,INDEX((TRANSAKSI_LOG!$C$2:$C$998=$C$5)*(TRANSAKSI_LOG!$J$2:$J$998=E$7)*(TRANSAKSI_LOG!$E$2:$E$998&lt;=$B81)*(TRANSAKSI_LOG!$F$2:$F$998&gt;=$B81),0),0)),"")</f>
        <v/>
      </c>
      <c r="F81" s="66" t="str">
        <f t="array" ref="F81">IFERROR(INDEX(TRANSAKSI_LOG!$M$2:$M$998,MATCH(1,INDEX((TRANSAKSI_LOG!$C$2:$C$998=$C$5)*(TRANSAKSI_LOG!$J$2:$J$998=F$7)*(TRANSAKSI_LOG!$E$2:$E$998&lt;=$B81)*(TRANSAKSI_LOG!$F$2:$F$998&gt;=$B81),0),0)) &amp; " - " &amp; INDEX(TRANSAKSI_LOG!$H$2:$H$998,MATCH(1,INDEX((TRANSAKSI_LOG!$C$2:$C$998=$C$5)*(TRANSAKSI_LOG!$J$2:$J$998=F$7)*(TRANSAKSI_LOG!$E$2:$E$998&lt;=$B81)*(TRANSAKSI_LOG!$F$2:$F$998&gt;=$B81),0),0)),"")</f>
        <v/>
      </c>
      <c r="G81" s="66" t="str">
        <f t="array" ref="G81">IFERROR(INDEX(TRANSAKSI_LOG!$M$2:$M$998,MATCH(1,INDEX((TRANSAKSI_LOG!$C$2:$C$998=$C$5)*(TRANSAKSI_LOG!$J$2:$J$998=G$7)*(TRANSAKSI_LOG!$E$2:$E$998&lt;=$B81)*(TRANSAKSI_LOG!$F$2:$F$998&gt;=$B81),0),0)) &amp; " - " &amp; INDEX(TRANSAKSI_LOG!$H$2:$H$998,MATCH(1,INDEX((TRANSAKSI_LOG!$C$2:$C$998=$C$5)*(TRANSAKSI_LOG!$J$2:$J$998=G$7)*(TRANSAKSI_LOG!$E$2:$E$998&lt;=$B81)*(TRANSAKSI_LOG!$F$2:$F$998&gt;=$B81),0),0)),"")</f>
        <v/>
      </c>
      <c r="H81" s="66" t="str">
        <f t="array" ref="H81">IFERROR(INDEX(TRANSAKSI_LOG!$M$2:$M$998,MATCH(1,INDEX((TRANSAKSI_LOG!$C$2:$C$998=$C$5)*(TRANSAKSI_LOG!$J$2:$J$998=H$7)*(TRANSAKSI_LOG!$E$2:$E$998&lt;=$B81)*(TRANSAKSI_LOG!$F$2:$F$998&gt;=$B81),0),0)) &amp; " - " &amp; INDEX(TRANSAKSI_LOG!$H$2:$H$998,MATCH(1,INDEX((TRANSAKSI_LOG!$C$2:$C$998=$C$5)*(TRANSAKSI_LOG!$J$2:$J$998=H$7)*(TRANSAKSI_LOG!$E$2:$E$998&lt;=$B81)*(TRANSAKSI_LOG!$F$2:$F$998&gt;=$B81),0),0)),"")</f>
        <v/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13">
        <v>0.5902777777777778</v>
      </c>
      <c r="C82" s="66" t="str">
        <f t="array" ref="C82">IFERROR(INDEX(TRANSAKSI_LOG!$M$2:$M$998,MATCH(1,INDEX((TRANSAKSI_LOG!$C$2:$C$998=$C$5)*(TRANSAKSI_LOG!$J$2:$J$998=C$7)*(TRANSAKSI_LOG!$E$2:$E$998&lt;=$B82)*(TRANSAKSI_LOG!$F$2:$F$998&gt;=$B82),0),0)) &amp; " - " &amp; INDEX(TRANSAKSI_LOG!$H$2:$H$998,MATCH(1,INDEX((TRANSAKSI_LOG!$C$2:$C$998=$C$5)*(TRANSAKSI_LOG!$J$2:$J$998=C$7)*(TRANSAKSI_LOG!$E$2:$E$998&lt;=$B82)*(TRANSAKSI_LOG!$F$2:$F$998&gt;=$B82),0),0)),"")</f>
        <v/>
      </c>
      <c r="D82" s="66" t="str">
        <f t="array" ref="D82">IFERROR(INDEX(TRANSAKSI_LOG!$M$2:$M$998,MATCH(1,INDEX((TRANSAKSI_LOG!$C$2:$C$998=$C$5)*(TRANSAKSI_LOG!$J$2:$J$998=D$7)*(TRANSAKSI_LOG!$E$2:$E$998&lt;=$B82)*(TRANSAKSI_LOG!$F$2:$F$998&gt;=$B82),0),0)) &amp; " - " &amp; INDEX(TRANSAKSI_LOG!$H$2:$H$998,MATCH(1,INDEX((TRANSAKSI_LOG!$C$2:$C$998=$C$5)*(TRANSAKSI_LOG!$J$2:$J$998=D$7)*(TRANSAKSI_LOG!$E$2:$E$998&lt;=$B82)*(TRANSAKSI_LOG!$F$2:$F$998&gt;=$B82),0),0)),"")</f>
        <v/>
      </c>
      <c r="E82" s="66" t="str">
        <f t="array" ref="E82">IFERROR(INDEX(TRANSAKSI_LOG!$M$2:$M$998,MATCH(1,INDEX((TRANSAKSI_LOG!$C$2:$C$998=$C$5)*(TRANSAKSI_LOG!$J$2:$J$998=E$7)*(TRANSAKSI_LOG!$E$2:$E$998&lt;=$B82)*(TRANSAKSI_LOG!$F$2:$F$998&gt;=$B82),0),0)) &amp; " - " &amp; INDEX(TRANSAKSI_LOG!$H$2:$H$998,MATCH(1,INDEX((TRANSAKSI_LOG!$C$2:$C$998=$C$5)*(TRANSAKSI_LOG!$J$2:$J$998=E$7)*(TRANSAKSI_LOG!$E$2:$E$998&lt;=$B82)*(TRANSAKSI_LOG!$F$2:$F$998&gt;=$B82),0),0)),"")</f>
        <v/>
      </c>
      <c r="F82" s="66" t="str">
        <f t="array" ref="F82">IFERROR(INDEX(TRANSAKSI_LOG!$M$2:$M$998,MATCH(1,INDEX((TRANSAKSI_LOG!$C$2:$C$998=$C$5)*(TRANSAKSI_LOG!$J$2:$J$998=F$7)*(TRANSAKSI_LOG!$E$2:$E$998&lt;=$B82)*(TRANSAKSI_LOG!$F$2:$F$998&gt;=$B82),0),0)) &amp; " - " &amp; INDEX(TRANSAKSI_LOG!$H$2:$H$998,MATCH(1,INDEX((TRANSAKSI_LOG!$C$2:$C$998=$C$5)*(TRANSAKSI_LOG!$J$2:$J$998=F$7)*(TRANSAKSI_LOG!$E$2:$E$998&lt;=$B82)*(TRANSAKSI_LOG!$F$2:$F$998&gt;=$B82),0),0)),"")</f>
        <v/>
      </c>
      <c r="G82" s="66" t="str">
        <f t="array" ref="G82">IFERROR(INDEX(TRANSAKSI_LOG!$M$2:$M$998,MATCH(1,INDEX((TRANSAKSI_LOG!$C$2:$C$998=$C$5)*(TRANSAKSI_LOG!$J$2:$J$998=G$7)*(TRANSAKSI_LOG!$E$2:$E$998&lt;=$B82)*(TRANSAKSI_LOG!$F$2:$F$998&gt;=$B82),0),0)) &amp; " - " &amp; INDEX(TRANSAKSI_LOG!$H$2:$H$998,MATCH(1,INDEX((TRANSAKSI_LOG!$C$2:$C$998=$C$5)*(TRANSAKSI_LOG!$J$2:$J$998=G$7)*(TRANSAKSI_LOG!$E$2:$E$998&lt;=$B82)*(TRANSAKSI_LOG!$F$2:$F$998&gt;=$B82),0),0)),"")</f>
        <v/>
      </c>
      <c r="H82" s="66" t="str">
        <f t="array" ref="H82">IFERROR(INDEX(TRANSAKSI_LOG!$M$2:$M$998,MATCH(1,INDEX((TRANSAKSI_LOG!$C$2:$C$998=$C$5)*(TRANSAKSI_LOG!$J$2:$J$998=H$7)*(TRANSAKSI_LOG!$E$2:$E$998&lt;=$B82)*(TRANSAKSI_LOG!$F$2:$F$998&gt;=$B82),0),0)) &amp; " - " &amp; INDEX(TRANSAKSI_LOG!$H$2:$H$998,MATCH(1,INDEX((TRANSAKSI_LOG!$C$2:$C$998=$C$5)*(TRANSAKSI_LOG!$J$2:$J$998=H$7)*(TRANSAKSI_LOG!$E$2:$E$998&lt;=$B82)*(TRANSAKSI_LOG!$F$2:$F$998&gt;=$B82),0),0)),"")</f>
        <v/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13">
        <v>0.59375</v>
      </c>
      <c r="C83" s="66" t="str">
        <f t="array" ref="C83">IFERROR(INDEX(TRANSAKSI_LOG!$M$2:$M$998,MATCH(1,INDEX((TRANSAKSI_LOG!$C$2:$C$998=$C$5)*(TRANSAKSI_LOG!$J$2:$J$998=C$7)*(TRANSAKSI_LOG!$E$2:$E$998&lt;=$B83)*(TRANSAKSI_LOG!$F$2:$F$998&gt;=$B83),0),0)) &amp; " - " &amp; INDEX(TRANSAKSI_LOG!$H$2:$H$998,MATCH(1,INDEX((TRANSAKSI_LOG!$C$2:$C$998=$C$5)*(TRANSAKSI_LOG!$J$2:$J$998=C$7)*(TRANSAKSI_LOG!$E$2:$E$998&lt;=$B83)*(TRANSAKSI_LOG!$F$2:$F$998&gt;=$B83),0),0)),"")</f>
        <v/>
      </c>
      <c r="D83" s="66" t="str">
        <f t="array" ref="D83">IFERROR(INDEX(TRANSAKSI_LOG!$M$2:$M$998,MATCH(1,INDEX((TRANSAKSI_LOG!$C$2:$C$998=$C$5)*(TRANSAKSI_LOG!$J$2:$J$998=D$7)*(TRANSAKSI_LOG!$E$2:$E$998&lt;=$B83)*(TRANSAKSI_LOG!$F$2:$F$998&gt;=$B83),0),0)) &amp; " - " &amp; INDEX(TRANSAKSI_LOG!$H$2:$H$998,MATCH(1,INDEX((TRANSAKSI_LOG!$C$2:$C$998=$C$5)*(TRANSAKSI_LOG!$J$2:$J$998=D$7)*(TRANSAKSI_LOG!$E$2:$E$998&lt;=$B83)*(TRANSAKSI_LOG!$F$2:$F$998&gt;=$B83),0),0)),"")</f>
        <v/>
      </c>
      <c r="E83" s="66" t="str">
        <f t="array" ref="E83">IFERROR(INDEX(TRANSAKSI_LOG!$M$2:$M$998,MATCH(1,INDEX((TRANSAKSI_LOG!$C$2:$C$998=$C$5)*(TRANSAKSI_LOG!$J$2:$J$998=E$7)*(TRANSAKSI_LOG!$E$2:$E$998&lt;=$B83)*(TRANSAKSI_LOG!$F$2:$F$998&gt;=$B83),0),0)) &amp; " - " &amp; INDEX(TRANSAKSI_LOG!$H$2:$H$998,MATCH(1,INDEX((TRANSAKSI_LOG!$C$2:$C$998=$C$5)*(TRANSAKSI_LOG!$J$2:$J$998=E$7)*(TRANSAKSI_LOG!$E$2:$E$998&lt;=$B83)*(TRANSAKSI_LOG!$F$2:$F$998&gt;=$B83),0),0)),"")</f>
        <v/>
      </c>
      <c r="F83" s="66" t="str">
        <f t="array" ref="F83">IFERROR(INDEX(TRANSAKSI_LOG!$M$2:$M$998,MATCH(1,INDEX((TRANSAKSI_LOG!$C$2:$C$998=$C$5)*(TRANSAKSI_LOG!$J$2:$J$998=F$7)*(TRANSAKSI_LOG!$E$2:$E$998&lt;=$B83)*(TRANSAKSI_LOG!$F$2:$F$998&gt;=$B83),0),0)) &amp; " - " &amp; INDEX(TRANSAKSI_LOG!$H$2:$H$998,MATCH(1,INDEX((TRANSAKSI_LOG!$C$2:$C$998=$C$5)*(TRANSAKSI_LOG!$J$2:$J$998=F$7)*(TRANSAKSI_LOG!$E$2:$E$998&lt;=$B83)*(TRANSAKSI_LOG!$F$2:$F$998&gt;=$B83),0),0)),"")</f>
        <v/>
      </c>
      <c r="G83" s="66" t="str">
        <f t="array" ref="G83">IFERROR(INDEX(TRANSAKSI_LOG!$M$2:$M$998,MATCH(1,INDEX((TRANSAKSI_LOG!$C$2:$C$998=$C$5)*(TRANSAKSI_LOG!$J$2:$J$998=G$7)*(TRANSAKSI_LOG!$E$2:$E$998&lt;=$B83)*(TRANSAKSI_LOG!$F$2:$F$998&gt;=$B83),0),0)) &amp; " - " &amp; INDEX(TRANSAKSI_LOG!$H$2:$H$998,MATCH(1,INDEX((TRANSAKSI_LOG!$C$2:$C$998=$C$5)*(TRANSAKSI_LOG!$J$2:$J$998=G$7)*(TRANSAKSI_LOG!$E$2:$E$998&lt;=$B83)*(TRANSAKSI_LOG!$F$2:$F$998&gt;=$B83),0),0)),"")</f>
        <v/>
      </c>
      <c r="H83" s="66" t="str">
        <f t="array" ref="H83">IFERROR(INDEX(TRANSAKSI_LOG!$M$2:$M$998,MATCH(1,INDEX((TRANSAKSI_LOG!$C$2:$C$998=$C$5)*(TRANSAKSI_LOG!$J$2:$J$998=H$7)*(TRANSAKSI_LOG!$E$2:$E$998&lt;=$B83)*(TRANSAKSI_LOG!$F$2:$F$998&gt;=$B83),0),0)) &amp; " - " &amp; INDEX(TRANSAKSI_LOG!$H$2:$H$998,MATCH(1,INDEX((TRANSAKSI_LOG!$C$2:$C$998=$C$5)*(TRANSAKSI_LOG!$J$2:$J$998=H$7)*(TRANSAKSI_LOG!$E$2:$E$998&lt;=$B83)*(TRANSAKSI_LOG!$F$2:$F$998&gt;=$B83),0),0)),"")</f>
        <v/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13">
        <v>0.5972222222222222</v>
      </c>
      <c r="C84" s="66" t="str">
        <f t="array" ref="C84">IFERROR(INDEX(TRANSAKSI_LOG!$M$2:$M$998,MATCH(1,INDEX((TRANSAKSI_LOG!$C$2:$C$998=$C$5)*(TRANSAKSI_LOG!$J$2:$J$998=C$7)*(TRANSAKSI_LOG!$E$2:$E$998&lt;=$B84)*(TRANSAKSI_LOG!$F$2:$F$998&gt;=$B84),0),0)) &amp; " - " &amp; INDEX(TRANSAKSI_LOG!$H$2:$H$998,MATCH(1,INDEX((TRANSAKSI_LOG!$C$2:$C$998=$C$5)*(TRANSAKSI_LOG!$J$2:$J$998=C$7)*(TRANSAKSI_LOG!$E$2:$E$998&lt;=$B84)*(TRANSAKSI_LOG!$F$2:$F$998&gt;=$B84),0),0)),"")</f>
        <v/>
      </c>
      <c r="D84" s="66" t="str">
        <f t="array" ref="D84">IFERROR(INDEX(TRANSAKSI_LOG!$M$2:$M$998,MATCH(1,INDEX((TRANSAKSI_LOG!$C$2:$C$998=$C$5)*(TRANSAKSI_LOG!$J$2:$J$998=D$7)*(TRANSAKSI_LOG!$E$2:$E$998&lt;=$B84)*(TRANSAKSI_LOG!$F$2:$F$998&gt;=$B84),0),0)) &amp; " - " &amp; INDEX(TRANSAKSI_LOG!$H$2:$H$998,MATCH(1,INDEX((TRANSAKSI_LOG!$C$2:$C$998=$C$5)*(TRANSAKSI_LOG!$J$2:$J$998=D$7)*(TRANSAKSI_LOG!$E$2:$E$998&lt;=$B84)*(TRANSAKSI_LOG!$F$2:$F$998&gt;=$B84),0),0)),"")</f>
        <v/>
      </c>
      <c r="E84" s="66" t="str">
        <f t="array" ref="E84">IFERROR(INDEX(TRANSAKSI_LOG!$M$2:$M$998,MATCH(1,INDEX((TRANSAKSI_LOG!$C$2:$C$998=$C$5)*(TRANSAKSI_LOG!$J$2:$J$998=E$7)*(TRANSAKSI_LOG!$E$2:$E$998&lt;=$B84)*(TRANSAKSI_LOG!$F$2:$F$998&gt;=$B84),0),0)) &amp; " - " &amp; INDEX(TRANSAKSI_LOG!$H$2:$H$998,MATCH(1,INDEX((TRANSAKSI_LOG!$C$2:$C$998=$C$5)*(TRANSAKSI_LOG!$J$2:$J$998=E$7)*(TRANSAKSI_LOG!$E$2:$E$998&lt;=$B84)*(TRANSAKSI_LOG!$F$2:$F$998&gt;=$B84),0),0)),"")</f>
        <v/>
      </c>
      <c r="F84" s="66" t="str">
        <f t="array" ref="F84">IFERROR(INDEX(TRANSAKSI_LOG!$M$2:$M$998,MATCH(1,INDEX((TRANSAKSI_LOG!$C$2:$C$998=$C$5)*(TRANSAKSI_LOG!$J$2:$J$998=F$7)*(TRANSAKSI_LOG!$E$2:$E$998&lt;=$B84)*(TRANSAKSI_LOG!$F$2:$F$998&gt;=$B84),0),0)) &amp; " - " &amp; INDEX(TRANSAKSI_LOG!$H$2:$H$998,MATCH(1,INDEX((TRANSAKSI_LOG!$C$2:$C$998=$C$5)*(TRANSAKSI_LOG!$J$2:$J$998=F$7)*(TRANSAKSI_LOG!$E$2:$E$998&lt;=$B84)*(TRANSAKSI_LOG!$F$2:$F$998&gt;=$B84),0),0)),"")</f>
        <v/>
      </c>
      <c r="G84" s="66" t="str">
        <f t="array" ref="G84">IFERROR(INDEX(TRANSAKSI_LOG!$M$2:$M$998,MATCH(1,INDEX((TRANSAKSI_LOG!$C$2:$C$998=$C$5)*(TRANSAKSI_LOG!$J$2:$J$998=G$7)*(TRANSAKSI_LOG!$E$2:$E$998&lt;=$B84)*(TRANSAKSI_LOG!$F$2:$F$998&gt;=$B84),0),0)) &amp; " - " &amp; INDEX(TRANSAKSI_LOG!$H$2:$H$998,MATCH(1,INDEX((TRANSAKSI_LOG!$C$2:$C$998=$C$5)*(TRANSAKSI_LOG!$J$2:$J$998=G$7)*(TRANSAKSI_LOG!$E$2:$E$998&lt;=$B84)*(TRANSAKSI_LOG!$F$2:$F$998&gt;=$B84),0),0)),"")</f>
        <v/>
      </c>
      <c r="H84" s="66" t="str">
        <f t="array" ref="H84">IFERROR(INDEX(TRANSAKSI_LOG!$M$2:$M$998,MATCH(1,INDEX((TRANSAKSI_LOG!$C$2:$C$998=$C$5)*(TRANSAKSI_LOG!$J$2:$J$998=H$7)*(TRANSAKSI_LOG!$E$2:$E$998&lt;=$B84)*(TRANSAKSI_LOG!$F$2:$F$998&gt;=$B84),0),0)) &amp; " - " &amp; INDEX(TRANSAKSI_LOG!$H$2:$H$998,MATCH(1,INDEX((TRANSAKSI_LOG!$C$2:$C$998=$C$5)*(TRANSAKSI_LOG!$J$2:$J$998=H$7)*(TRANSAKSI_LOG!$E$2:$E$998&lt;=$B84)*(TRANSAKSI_LOG!$F$2:$F$998&gt;=$B84),0),0)),"")</f>
        <v/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13">
        <v>0.6006944444444444</v>
      </c>
      <c r="C85" s="66" t="str">
        <f t="array" ref="C85">IFERROR(INDEX(TRANSAKSI_LOG!$M$2:$M$998,MATCH(1,INDEX((TRANSAKSI_LOG!$C$2:$C$998=$C$5)*(TRANSAKSI_LOG!$J$2:$J$998=C$7)*(TRANSAKSI_LOG!$E$2:$E$998&lt;=$B85)*(TRANSAKSI_LOG!$F$2:$F$998&gt;=$B85),0),0)) &amp; " - " &amp; INDEX(TRANSAKSI_LOG!$H$2:$H$998,MATCH(1,INDEX((TRANSAKSI_LOG!$C$2:$C$998=$C$5)*(TRANSAKSI_LOG!$J$2:$J$998=C$7)*(TRANSAKSI_LOG!$E$2:$E$998&lt;=$B85)*(TRANSAKSI_LOG!$F$2:$F$998&gt;=$B85),0),0)),"")</f>
        <v/>
      </c>
      <c r="D85" s="66" t="str">
        <f t="array" ref="D85">IFERROR(INDEX(TRANSAKSI_LOG!$M$2:$M$998,MATCH(1,INDEX((TRANSAKSI_LOG!$C$2:$C$998=$C$5)*(TRANSAKSI_LOG!$J$2:$J$998=D$7)*(TRANSAKSI_LOG!$E$2:$E$998&lt;=$B85)*(TRANSAKSI_LOG!$F$2:$F$998&gt;=$B85),0),0)) &amp; " - " &amp; INDEX(TRANSAKSI_LOG!$H$2:$H$998,MATCH(1,INDEX((TRANSAKSI_LOG!$C$2:$C$998=$C$5)*(TRANSAKSI_LOG!$J$2:$J$998=D$7)*(TRANSAKSI_LOG!$E$2:$E$998&lt;=$B85)*(TRANSAKSI_LOG!$F$2:$F$998&gt;=$B85),0),0)),"")</f>
        <v/>
      </c>
      <c r="E85" s="66" t="str">
        <f t="array" ref="E85">IFERROR(INDEX(TRANSAKSI_LOG!$M$2:$M$998,MATCH(1,INDEX((TRANSAKSI_LOG!$C$2:$C$998=$C$5)*(TRANSAKSI_LOG!$J$2:$J$998=E$7)*(TRANSAKSI_LOG!$E$2:$E$998&lt;=$B85)*(TRANSAKSI_LOG!$F$2:$F$998&gt;=$B85),0),0)) &amp; " - " &amp; INDEX(TRANSAKSI_LOG!$H$2:$H$998,MATCH(1,INDEX((TRANSAKSI_LOG!$C$2:$C$998=$C$5)*(TRANSAKSI_LOG!$J$2:$J$998=E$7)*(TRANSAKSI_LOG!$E$2:$E$998&lt;=$B85)*(TRANSAKSI_LOG!$F$2:$F$998&gt;=$B85),0),0)),"")</f>
        <v/>
      </c>
      <c r="F85" s="66" t="str">
        <f t="array" ref="F85">IFERROR(INDEX(TRANSAKSI_LOG!$M$2:$M$998,MATCH(1,INDEX((TRANSAKSI_LOG!$C$2:$C$998=$C$5)*(TRANSAKSI_LOG!$J$2:$J$998=F$7)*(TRANSAKSI_LOG!$E$2:$E$998&lt;=$B85)*(TRANSAKSI_LOG!$F$2:$F$998&gt;=$B85),0),0)) &amp; " - " &amp; INDEX(TRANSAKSI_LOG!$H$2:$H$998,MATCH(1,INDEX((TRANSAKSI_LOG!$C$2:$C$998=$C$5)*(TRANSAKSI_LOG!$J$2:$J$998=F$7)*(TRANSAKSI_LOG!$E$2:$E$998&lt;=$B85)*(TRANSAKSI_LOG!$F$2:$F$998&gt;=$B85),0),0)),"")</f>
        <v/>
      </c>
      <c r="G85" s="66" t="str">
        <f t="array" ref="G85">IFERROR(INDEX(TRANSAKSI_LOG!$M$2:$M$998,MATCH(1,INDEX((TRANSAKSI_LOG!$C$2:$C$998=$C$5)*(TRANSAKSI_LOG!$J$2:$J$998=G$7)*(TRANSAKSI_LOG!$E$2:$E$998&lt;=$B85)*(TRANSAKSI_LOG!$F$2:$F$998&gt;=$B85),0),0)) &amp; " - " &amp; INDEX(TRANSAKSI_LOG!$H$2:$H$998,MATCH(1,INDEX((TRANSAKSI_LOG!$C$2:$C$998=$C$5)*(TRANSAKSI_LOG!$J$2:$J$998=G$7)*(TRANSAKSI_LOG!$E$2:$E$998&lt;=$B85)*(TRANSAKSI_LOG!$F$2:$F$998&gt;=$B85),0),0)),"")</f>
        <v/>
      </c>
      <c r="H85" s="66" t="str">
        <f t="array" ref="H85">IFERROR(INDEX(TRANSAKSI_LOG!$M$2:$M$998,MATCH(1,INDEX((TRANSAKSI_LOG!$C$2:$C$998=$C$5)*(TRANSAKSI_LOG!$J$2:$J$998=H$7)*(TRANSAKSI_LOG!$E$2:$E$998&lt;=$B85)*(TRANSAKSI_LOG!$F$2:$F$998&gt;=$B85),0),0)) &amp; " - " &amp; INDEX(TRANSAKSI_LOG!$H$2:$H$998,MATCH(1,INDEX((TRANSAKSI_LOG!$C$2:$C$998=$C$5)*(TRANSAKSI_LOG!$J$2:$J$998=H$7)*(TRANSAKSI_LOG!$E$2:$E$998&lt;=$B85)*(TRANSAKSI_LOG!$F$2:$F$998&gt;=$B85),0),0)),"")</f>
        <v/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13">
        <v>0.6041666666666666</v>
      </c>
      <c r="C86" s="66" t="str">
        <f t="array" ref="C86">IFERROR(INDEX(TRANSAKSI_LOG!$M$2:$M$998,MATCH(1,INDEX((TRANSAKSI_LOG!$C$2:$C$998=$C$5)*(TRANSAKSI_LOG!$J$2:$J$998=C$7)*(TRANSAKSI_LOG!$E$2:$E$998&lt;=$B86)*(TRANSAKSI_LOG!$F$2:$F$998&gt;=$B86),0),0)) &amp; " - " &amp; INDEX(TRANSAKSI_LOG!$H$2:$H$998,MATCH(1,INDEX((TRANSAKSI_LOG!$C$2:$C$998=$C$5)*(TRANSAKSI_LOG!$J$2:$J$998=C$7)*(TRANSAKSI_LOG!$E$2:$E$998&lt;=$B86)*(TRANSAKSI_LOG!$F$2:$F$998&gt;=$B86),0),0)),"")</f>
        <v/>
      </c>
      <c r="D86" s="66" t="str">
        <f t="array" ref="D86">IFERROR(INDEX(TRANSAKSI_LOG!$M$2:$M$998,MATCH(1,INDEX((TRANSAKSI_LOG!$C$2:$C$998=$C$5)*(TRANSAKSI_LOG!$J$2:$J$998=D$7)*(TRANSAKSI_LOG!$E$2:$E$998&lt;=$B86)*(TRANSAKSI_LOG!$F$2:$F$998&gt;=$B86),0),0)) &amp; " - " &amp; INDEX(TRANSAKSI_LOG!$H$2:$H$998,MATCH(1,INDEX((TRANSAKSI_LOG!$C$2:$C$998=$C$5)*(TRANSAKSI_LOG!$J$2:$J$998=D$7)*(TRANSAKSI_LOG!$E$2:$E$998&lt;=$B86)*(TRANSAKSI_LOG!$F$2:$F$998&gt;=$B86),0),0)),"")</f>
        <v/>
      </c>
      <c r="E86" s="66" t="str">
        <f t="array" ref="E86">IFERROR(INDEX(TRANSAKSI_LOG!$M$2:$M$998,MATCH(1,INDEX((TRANSAKSI_LOG!$C$2:$C$998=$C$5)*(TRANSAKSI_LOG!$J$2:$J$998=E$7)*(TRANSAKSI_LOG!$E$2:$E$998&lt;=$B86)*(TRANSAKSI_LOG!$F$2:$F$998&gt;=$B86),0),0)) &amp; " - " &amp; INDEX(TRANSAKSI_LOG!$H$2:$H$998,MATCH(1,INDEX((TRANSAKSI_LOG!$C$2:$C$998=$C$5)*(TRANSAKSI_LOG!$J$2:$J$998=E$7)*(TRANSAKSI_LOG!$E$2:$E$998&lt;=$B86)*(TRANSAKSI_LOG!$F$2:$F$998&gt;=$B86),0),0)),"")</f>
        <v/>
      </c>
      <c r="F86" s="66" t="str">
        <f t="array" ref="F86">IFERROR(INDEX(TRANSAKSI_LOG!$M$2:$M$998,MATCH(1,INDEX((TRANSAKSI_LOG!$C$2:$C$998=$C$5)*(TRANSAKSI_LOG!$J$2:$J$998=F$7)*(TRANSAKSI_LOG!$E$2:$E$998&lt;=$B86)*(TRANSAKSI_LOG!$F$2:$F$998&gt;=$B86),0),0)) &amp; " - " &amp; INDEX(TRANSAKSI_LOG!$H$2:$H$998,MATCH(1,INDEX((TRANSAKSI_LOG!$C$2:$C$998=$C$5)*(TRANSAKSI_LOG!$J$2:$J$998=F$7)*(TRANSAKSI_LOG!$E$2:$E$998&lt;=$B86)*(TRANSAKSI_LOG!$F$2:$F$998&gt;=$B86),0),0)),"")</f>
        <v/>
      </c>
      <c r="G86" s="66" t="str">
        <f t="array" ref="G86">IFERROR(INDEX(TRANSAKSI_LOG!$M$2:$M$998,MATCH(1,INDEX((TRANSAKSI_LOG!$C$2:$C$998=$C$5)*(TRANSAKSI_LOG!$J$2:$J$998=G$7)*(TRANSAKSI_LOG!$E$2:$E$998&lt;=$B86)*(TRANSAKSI_LOG!$F$2:$F$998&gt;=$B86),0),0)) &amp; " - " &amp; INDEX(TRANSAKSI_LOG!$H$2:$H$998,MATCH(1,INDEX((TRANSAKSI_LOG!$C$2:$C$998=$C$5)*(TRANSAKSI_LOG!$J$2:$J$998=G$7)*(TRANSAKSI_LOG!$E$2:$E$998&lt;=$B86)*(TRANSAKSI_LOG!$F$2:$F$998&gt;=$B86),0),0)),"")</f>
        <v/>
      </c>
      <c r="H86" s="66" t="str">
        <f t="array" ref="H86">IFERROR(INDEX(TRANSAKSI_LOG!$M$2:$M$998,MATCH(1,INDEX((TRANSAKSI_LOG!$C$2:$C$998=$C$5)*(TRANSAKSI_LOG!$J$2:$J$998=H$7)*(TRANSAKSI_LOG!$E$2:$E$998&lt;=$B86)*(TRANSAKSI_LOG!$F$2:$F$998&gt;=$B86),0),0)) &amp; " - " &amp; INDEX(TRANSAKSI_LOG!$H$2:$H$998,MATCH(1,INDEX((TRANSAKSI_LOG!$C$2:$C$998=$C$5)*(TRANSAKSI_LOG!$J$2:$J$998=H$7)*(TRANSAKSI_LOG!$E$2:$E$998&lt;=$B86)*(TRANSAKSI_LOG!$F$2:$F$998&gt;=$B86),0),0)),"")</f>
        <v/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13">
        <v>0.6076388888888888</v>
      </c>
      <c r="C87" s="66" t="str">
        <f t="array" ref="C87">IFERROR(INDEX(TRANSAKSI_LOG!$M$2:$M$998,MATCH(1,INDEX((TRANSAKSI_LOG!$C$2:$C$998=$C$5)*(TRANSAKSI_LOG!$J$2:$J$998=C$7)*(TRANSAKSI_LOG!$E$2:$E$998&lt;=$B87)*(TRANSAKSI_LOG!$F$2:$F$998&gt;=$B87),0),0)) &amp; " - " &amp; INDEX(TRANSAKSI_LOG!$H$2:$H$998,MATCH(1,INDEX((TRANSAKSI_LOG!$C$2:$C$998=$C$5)*(TRANSAKSI_LOG!$J$2:$J$998=C$7)*(TRANSAKSI_LOG!$E$2:$E$998&lt;=$B87)*(TRANSAKSI_LOG!$F$2:$F$998&gt;=$B87),0),0)),"")</f>
        <v/>
      </c>
      <c r="D87" s="66" t="str">
        <f t="array" ref="D87">IFERROR(INDEX(TRANSAKSI_LOG!$M$2:$M$998,MATCH(1,INDEX((TRANSAKSI_LOG!$C$2:$C$998=$C$5)*(TRANSAKSI_LOG!$J$2:$J$998=D$7)*(TRANSAKSI_LOG!$E$2:$E$998&lt;=$B87)*(TRANSAKSI_LOG!$F$2:$F$998&gt;=$B87),0),0)) &amp; " - " &amp; INDEX(TRANSAKSI_LOG!$H$2:$H$998,MATCH(1,INDEX((TRANSAKSI_LOG!$C$2:$C$998=$C$5)*(TRANSAKSI_LOG!$J$2:$J$998=D$7)*(TRANSAKSI_LOG!$E$2:$E$998&lt;=$B87)*(TRANSAKSI_LOG!$F$2:$F$998&gt;=$B87),0),0)),"")</f>
        <v/>
      </c>
      <c r="E87" s="66" t="str">
        <f t="array" ref="E87">IFERROR(INDEX(TRANSAKSI_LOG!$M$2:$M$998,MATCH(1,INDEX((TRANSAKSI_LOG!$C$2:$C$998=$C$5)*(TRANSAKSI_LOG!$J$2:$J$998=E$7)*(TRANSAKSI_LOG!$E$2:$E$998&lt;=$B87)*(TRANSAKSI_LOG!$F$2:$F$998&gt;=$B87),0),0)) &amp; " - " &amp; INDEX(TRANSAKSI_LOG!$H$2:$H$998,MATCH(1,INDEX((TRANSAKSI_LOG!$C$2:$C$998=$C$5)*(TRANSAKSI_LOG!$J$2:$J$998=E$7)*(TRANSAKSI_LOG!$E$2:$E$998&lt;=$B87)*(TRANSAKSI_LOG!$F$2:$F$998&gt;=$B87),0),0)),"")</f>
        <v/>
      </c>
      <c r="F87" s="66" t="str">
        <f t="array" ref="F87">IFERROR(INDEX(TRANSAKSI_LOG!$M$2:$M$998,MATCH(1,INDEX((TRANSAKSI_LOG!$C$2:$C$998=$C$5)*(TRANSAKSI_LOG!$J$2:$J$998=F$7)*(TRANSAKSI_LOG!$E$2:$E$998&lt;=$B87)*(TRANSAKSI_LOG!$F$2:$F$998&gt;=$B87),0),0)) &amp; " - " &amp; INDEX(TRANSAKSI_LOG!$H$2:$H$998,MATCH(1,INDEX((TRANSAKSI_LOG!$C$2:$C$998=$C$5)*(TRANSAKSI_LOG!$J$2:$J$998=F$7)*(TRANSAKSI_LOG!$E$2:$E$998&lt;=$B87)*(TRANSAKSI_LOG!$F$2:$F$998&gt;=$B87),0),0)),"")</f>
        <v/>
      </c>
      <c r="G87" s="66" t="str">
        <f t="array" ref="G87">IFERROR(INDEX(TRANSAKSI_LOG!$M$2:$M$998,MATCH(1,INDEX((TRANSAKSI_LOG!$C$2:$C$998=$C$5)*(TRANSAKSI_LOG!$J$2:$J$998=G$7)*(TRANSAKSI_LOG!$E$2:$E$998&lt;=$B87)*(TRANSAKSI_LOG!$F$2:$F$998&gt;=$B87),0),0)) &amp; " - " &amp; INDEX(TRANSAKSI_LOG!$H$2:$H$998,MATCH(1,INDEX((TRANSAKSI_LOG!$C$2:$C$998=$C$5)*(TRANSAKSI_LOG!$J$2:$J$998=G$7)*(TRANSAKSI_LOG!$E$2:$E$998&lt;=$B87)*(TRANSAKSI_LOG!$F$2:$F$998&gt;=$B87),0),0)),"")</f>
        <v/>
      </c>
      <c r="H87" s="66" t="str">
        <f t="array" ref="H87">IFERROR(INDEX(TRANSAKSI_LOG!$M$2:$M$998,MATCH(1,INDEX((TRANSAKSI_LOG!$C$2:$C$998=$C$5)*(TRANSAKSI_LOG!$J$2:$J$998=H$7)*(TRANSAKSI_LOG!$E$2:$E$998&lt;=$B87)*(TRANSAKSI_LOG!$F$2:$F$998&gt;=$B87),0),0)) &amp; " - " &amp; INDEX(TRANSAKSI_LOG!$H$2:$H$998,MATCH(1,INDEX((TRANSAKSI_LOG!$C$2:$C$998=$C$5)*(TRANSAKSI_LOG!$J$2:$J$998=H$7)*(TRANSAKSI_LOG!$E$2:$E$998&lt;=$B87)*(TRANSAKSI_LOG!$F$2:$F$998&gt;=$B87),0),0)),"")</f>
        <v/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13">
        <v>0.6111111111111112</v>
      </c>
      <c r="C88" s="66" t="str">
        <f t="array" ref="C88">IFERROR(INDEX(TRANSAKSI_LOG!$M$2:$M$998,MATCH(1,INDEX((TRANSAKSI_LOG!$C$2:$C$998=$C$5)*(TRANSAKSI_LOG!$J$2:$J$998=C$7)*(TRANSAKSI_LOG!$E$2:$E$998&lt;=$B88)*(TRANSAKSI_LOG!$F$2:$F$998&gt;=$B88),0),0)) &amp; " - " &amp; INDEX(TRANSAKSI_LOG!$H$2:$H$998,MATCH(1,INDEX((TRANSAKSI_LOG!$C$2:$C$998=$C$5)*(TRANSAKSI_LOG!$J$2:$J$998=C$7)*(TRANSAKSI_LOG!$E$2:$E$998&lt;=$B88)*(TRANSAKSI_LOG!$F$2:$F$998&gt;=$B88),0),0)),"")</f>
        <v/>
      </c>
      <c r="D88" s="66" t="str">
        <f t="array" ref="D88">IFERROR(INDEX(TRANSAKSI_LOG!$M$2:$M$998,MATCH(1,INDEX((TRANSAKSI_LOG!$C$2:$C$998=$C$5)*(TRANSAKSI_LOG!$J$2:$J$998=D$7)*(TRANSAKSI_LOG!$E$2:$E$998&lt;=$B88)*(TRANSAKSI_LOG!$F$2:$F$998&gt;=$B88),0),0)) &amp; " - " &amp; INDEX(TRANSAKSI_LOG!$H$2:$H$998,MATCH(1,INDEX((TRANSAKSI_LOG!$C$2:$C$998=$C$5)*(TRANSAKSI_LOG!$J$2:$J$998=D$7)*(TRANSAKSI_LOG!$E$2:$E$998&lt;=$B88)*(TRANSAKSI_LOG!$F$2:$F$998&gt;=$B88),0),0)),"")</f>
        <v/>
      </c>
      <c r="E88" s="66" t="str">
        <f t="array" ref="E88">IFERROR(INDEX(TRANSAKSI_LOG!$M$2:$M$998,MATCH(1,INDEX((TRANSAKSI_LOG!$C$2:$C$998=$C$5)*(TRANSAKSI_LOG!$J$2:$J$998=E$7)*(TRANSAKSI_LOG!$E$2:$E$998&lt;=$B88)*(TRANSAKSI_LOG!$F$2:$F$998&gt;=$B88),0),0)) &amp; " - " &amp; INDEX(TRANSAKSI_LOG!$H$2:$H$998,MATCH(1,INDEX((TRANSAKSI_LOG!$C$2:$C$998=$C$5)*(TRANSAKSI_LOG!$J$2:$J$998=E$7)*(TRANSAKSI_LOG!$E$2:$E$998&lt;=$B88)*(TRANSAKSI_LOG!$F$2:$F$998&gt;=$B88),0),0)),"")</f>
        <v/>
      </c>
      <c r="F88" s="66" t="str">
        <f t="array" ref="F88">IFERROR(INDEX(TRANSAKSI_LOG!$M$2:$M$998,MATCH(1,INDEX((TRANSAKSI_LOG!$C$2:$C$998=$C$5)*(TRANSAKSI_LOG!$J$2:$J$998=F$7)*(TRANSAKSI_LOG!$E$2:$E$998&lt;=$B88)*(TRANSAKSI_LOG!$F$2:$F$998&gt;=$B88),0),0)) &amp; " - " &amp; INDEX(TRANSAKSI_LOG!$H$2:$H$998,MATCH(1,INDEX((TRANSAKSI_LOG!$C$2:$C$998=$C$5)*(TRANSAKSI_LOG!$J$2:$J$998=F$7)*(TRANSAKSI_LOG!$E$2:$E$998&lt;=$B88)*(TRANSAKSI_LOG!$F$2:$F$998&gt;=$B88),0),0)),"")</f>
        <v/>
      </c>
      <c r="G88" s="66" t="str">
        <f t="array" ref="G88">IFERROR(INDEX(TRANSAKSI_LOG!$M$2:$M$998,MATCH(1,INDEX((TRANSAKSI_LOG!$C$2:$C$998=$C$5)*(TRANSAKSI_LOG!$J$2:$J$998=G$7)*(TRANSAKSI_LOG!$E$2:$E$998&lt;=$B88)*(TRANSAKSI_LOG!$F$2:$F$998&gt;=$B88),0),0)) &amp; " - " &amp; INDEX(TRANSAKSI_LOG!$H$2:$H$998,MATCH(1,INDEX((TRANSAKSI_LOG!$C$2:$C$998=$C$5)*(TRANSAKSI_LOG!$J$2:$J$998=G$7)*(TRANSAKSI_LOG!$E$2:$E$998&lt;=$B88)*(TRANSAKSI_LOG!$F$2:$F$998&gt;=$B88),0),0)),"")</f>
        <v/>
      </c>
      <c r="H88" s="66" t="str">
        <f t="array" ref="H88">IFERROR(INDEX(TRANSAKSI_LOG!$M$2:$M$998,MATCH(1,INDEX((TRANSAKSI_LOG!$C$2:$C$998=$C$5)*(TRANSAKSI_LOG!$J$2:$J$998=H$7)*(TRANSAKSI_LOG!$E$2:$E$998&lt;=$B88)*(TRANSAKSI_LOG!$F$2:$F$998&gt;=$B88),0),0)) &amp; " - " &amp; INDEX(TRANSAKSI_LOG!$H$2:$H$998,MATCH(1,INDEX((TRANSAKSI_LOG!$C$2:$C$998=$C$5)*(TRANSAKSI_LOG!$J$2:$J$998=H$7)*(TRANSAKSI_LOG!$E$2:$E$998&lt;=$B88)*(TRANSAKSI_LOG!$F$2:$F$998&gt;=$B88),0),0)),"")</f>
        <v/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13">
        <v>0.6145833333333334</v>
      </c>
      <c r="C89" s="66" t="str">
        <f t="array" ref="C89">IFERROR(INDEX(TRANSAKSI_LOG!$M$2:$M$998,MATCH(1,INDEX((TRANSAKSI_LOG!$C$2:$C$998=$C$5)*(TRANSAKSI_LOG!$J$2:$J$998=C$7)*(TRANSAKSI_LOG!$E$2:$E$998&lt;=$B89)*(TRANSAKSI_LOG!$F$2:$F$998&gt;=$B89),0),0)) &amp; " - " &amp; INDEX(TRANSAKSI_LOG!$H$2:$H$998,MATCH(1,INDEX((TRANSAKSI_LOG!$C$2:$C$998=$C$5)*(TRANSAKSI_LOG!$J$2:$J$998=C$7)*(TRANSAKSI_LOG!$E$2:$E$998&lt;=$B89)*(TRANSAKSI_LOG!$F$2:$F$998&gt;=$B89),0),0)),"")</f>
        <v/>
      </c>
      <c r="D89" s="66" t="str">
        <f t="array" ref="D89">IFERROR(INDEX(TRANSAKSI_LOG!$M$2:$M$998,MATCH(1,INDEX((TRANSAKSI_LOG!$C$2:$C$998=$C$5)*(TRANSAKSI_LOG!$J$2:$J$998=D$7)*(TRANSAKSI_LOG!$E$2:$E$998&lt;=$B89)*(TRANSAKSI_LOG!$F$2:$F$998&gt;=$B89),0),0)) &amp; " - " &amp; INDEX(TRANSAKSI_LOG!$H$2:$H$998,MATCH(1,INDEX((TRANSAKSI_LOG!$C$2:$C$998=$C$5)*(TRANSAKSI_LOG!$J$2:$J$998=D$7)*(TRANSAKSI_LOG!$E$2:$E$998&lt;=$B89)*(TRANSAKSI_LOG!$F$2:$F$998&gt;=$B89),0),0)),"")</f>
        <v/>
      </c>
      <c r="E89" s="66" t="str">
        <f t="array" ref="E89">IFERROR(INDEX(TRANSAKSI_LOG!$M$2:$M$998,MATCH(1,INDEX((TRANSAKSI_LOG!$C$2:$C$998=$C$5)*(TRANSAKSI_LOG!$J$2:$J$998=E$7)*(TRANSAKSI_LOG!$E$2:$E$998&lt;=$B89)*(TRANSAKSI_LOG!$F$2:$F$998&gt;=$B89),0),0)) &amp; " - " &amp; INDEX(TRANSAKSI_LOG!$H$2:$H$998,MATCH(1,INDEX((TRANSAKSI_LOG!$C$2:$C$998=$C$5)*(TRANSAKSI_LOG!$J$2:$J$998=E$7)*(TRANSAKSI_LOG!$E$2:$E$998&lt;=$B89)*(TRANSAKSI_LOG!$F$2:$F$998&gt;=$B89),0),0)),"")</f>
        <v/>
      </c>
      <c r="F89" s="66" t="str">
        <f t="array" ref="F89">IFERROR(INDEX(TRANSAKSI_LOG!$M$2:$M$998,MATCH(1,INDEX((TRANSAKSI_LOG!$C$2:$C$998=$C$5)*(TRANSAKSI_LOG!$J$2:$J$998=F$7)*(TRANSAKSI_LOG!$E$2:$E$998&lt;=$B89)*(TRANSAKSI_LOG!$F$2:$F$998&gt;=$B89),0),0)) &amp; " - " &amp; INDEX(TRANSAKSI_LOG!$H$2:$H$998,MATCH(1,INDEX((TRANSAKSI_LOG!$C$2:$C$998=$C$5)*(TRANSAKSI_LOG!$J$2:$J$998=F$7)*(TRANSAKSI_LOG!$E$2:$E$998&lt;=$B89)*(TRANSAKSI_LOG!$F$2:$F$998&gt;=$B89),0),0)),"")</f>
        <v/>
      </c>
      <c r="G89" s="66" t="str">
        <f t="array" ref="G89">IFERROR(INDEX(TRANSAKSI_LOG!$M$2:$M$998,MATCH(1,INDEX((TRANSAKSI_LOG!$C$2:$C$998=$C$5)*(TRANSAKSI_LOG!$J$2:$J$998=G$7)*(TRANSAKSI_LOG!$E$2:$E$998&lt;=$B89)*(TRANSAKSI_LOG!$F$2:$F$998&gt;=$B89),0),0)) &amp; " - " &amp; INDEX(TRANSAKSI_LOG!$H$2:$H$998,MATCH(1,INDEX((TRANSAKSI_LOG!$C$2:$C$998=$C$5)*(TRANSAKSI_LOG!$J$2:$J$998=G$7)*(TRANSAKSI_LOG!$E$2:$E$998&lt;=$B89)*(TRANSAKSI_LOG!$F$2:$F$998&gt;=$B89),0),0)),"")</f>
        <v/>
      </c>
      <c r="H89" s="66" t="str">
        <f t="array" ref="H89">IFERROR(INDEX(TRANSAKSI_LOG!$M$2:$M$998,MATCH(1,INDEX((TRANSAKSI_LOG!$C$2:$C$998=$C$5)*(TRANSAKSI_LOG!$J$2:$J$998=H$7)*(TRANSAKSI_LOG!$E$2:$E$998&lt;=$B89)*(TRANSAKSI_LOG!$F$2:$F$998&gt;=$B89),0),0)) &amp; " - " &amp; INDEX(TRANSAKSI_LOG!$H$2:$H$998,MATCH(1,INDEX((TRANSAKSI_LOG!$C$2:$C$998=$C$5)*(TRANSAKSI_LOG!$J$2:$J$998=H$7)*(TRANSAKSI_LOG!$E$2:$E$998&lt;=$B89)*(TRANSAKSI_LOG!$F$2:$F$998&gt;=$B89),0),0)),"")</f>
        <v/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13">
        <v>0.6180555555555556</v>
      </c>
      <c r="C90" s="66" t="str">
        <f t="array" ref="C90">IFERROR(INDEX(TRANSAKSI_LOG!$M$2:$M$998,MATCH(1,INDEX((TRANSAKSI_LOG!$C$2:$C$998=$C$5)*(TRANSAKSI_LOG!$J$2:$J$998=C$7)*(TRANSAKSI_LOG!$E$2:$E$998&lt;=$B90)*(TRANSAKSI_LOG!$F$2:$F$998&gt;=$B90),0),0)) &amp; " - " &amp; INDEX(TRANSAKSI_LOG!$H$2:$H$998,MATCH(1,INDEX((TRANSAKSI_LOG!$C$2:$C$998=$C$5)*(TRANSAKSI_LOG!$J$2:$J$998=C$7)*(TRANSAKSI_LOG!$E$2:$E$998&lt;=$B90)*(TRANSAKSI_LOG!$F$2:$F$998&gt;=$B90),0),0)),"")</f>
        <v/>
      </c>
      <c r="D90" s="66" t="str">
        <f t="array" ref="D90">IFERROR(INDEX(TRANSAKSI_LOG!$M$2:$M$998,MATCH(1,INDEX((TRANSAKSI_LOG!$C$2:$C$998=$C$5)*(TRANSAKSI_LOG!$J$2:$J$998=D$7)*(TRANSAKSI_LOG!$E$2:$E$998&lt;=$B90)*(TRANSAKSI_LOG!$F$2:$F$998&gt;=$B90),0),0)) &amp; " - " &amp; INDEX(TRANSAKSI_LOG!$H$2:$H$998,MATCH(1,INDEX((TRANSAKSI_LOG!$C$2:$C$998=$C$5)*(TRANSAKSI_LOG!$J$2:$J$998=D$7)*(TRANSAKSI_LOG!$E$2:$E$998&lt;=$B90)*(TRANSAKSI_LOG!$F$2:$F$998&gt;=$B90),0),0)),"")</f>
        <v/>
      </c>
      <c r="E90" s="66" t="str">
        <f t="array" ref="E90">IFERROR(INDEX(TRANSAKSI_LOG!$M$2:$M$998,MATCH(1,INDEX((TRANSAKSI_LOG!$C$2:$C$998=$C$5)*(TRANSAKSI_LOG!$J$2:$J$998=E$7)*(TRANSAKSI_LOG!$E$2:$E$998&lt;=$B90)*(TRANSAKSI_LOG!$F$2:$F$998&gt;=$B90),0),0)) &amp; " - " &amp; INDEX(TRANSAKSI_LOG!$H$2:$H$998,MATCH(1,INDEX((TRANSAKSI_LOG!$C$2:$C$998=$C$5)*(TRANSAKSI_LOG!$J$2:$J$998=E$7)*(TRANSAKSI_LOG!$E$2:$E$998&lt;=$B90)*(TRANSAKSI_LOG!$F$2:$F$998&gt;=$B90),0),0)),"")</f>
        <v/>
      </c>
      <c r="F90" s="66" t="str">
        <f t="array" ref="F90">IFERROR(INDEX(TRANSAKSI_LOG!$M$2:$M$998,MATCH(1,INDEX((TRANSAKSI_LOG!$C$2:$C$998=$C$5)*(TRANSAKSI_LOG!$J$2:$J$998=F$7)*(TRANSAKSI_LOG!$E$2:$E$998&lt;=$B90)*(TRANSAKSI_LOG!$F$2:$F$998&gt;=$B90),0),0)) &amp; " - " &amp; INDEX(TRANSAKSI_LOG!$H$2:$H$998,MATCH(1,INDEX((TRANSAKSI_LOG!$C$2:$C$998=$C$5)*(TRANSAKSI_LOG!$J$2:$J$998=F$7)*(TRANSAKSI_LOG!$E$2:$E$998&lt;=$B90)*(TRANSAKSI_LOG!$F$2:$F$998&gt;=$B90),0),0)),"")</f>
        <v/>
      </c>
      <c r="G90" s="66" t="str">
        <f t="array" ref="G90">IFERROR(INDEX(TRANSAKSI_LOG!$M$2:$M$998,MATCH(1,INDEX((TRANSAKSI_LOG!$C$2:$C$998=$C$5)*(TRANSAKSI_LOG!$J$2:$J$998=G$7)*(TRANSAKSI_LOG!$E$2:$E$998&lt;=$B90)*(TRANSAKSI_LOG!$F$2:$F$998&gt;=$B90),0),0)) &amp; " - " &amp; INDEX(TRANSAKSI_LOG!$H$2:$H$998,MATCH(1,INDEX((TRANSAKSI_LOG!$C$2:$C$998=$C$5)*(TRANSAKSI_LOG!$J$2:$J$998=G$7)*(TRANSAKSI_LOG!$E$2:$E$998&lt;=$B90)*(TRANSAKSI_LOG!$F$2:$F$998&gt;=$B90),0),0)),"")</f>
        <v/>
      </c>
      <c r="H90" s="66" t="str">
        <f t="array" ref="H90">IFERROR(INDEX(TRANSAKSI_LOG!$M$2:$M$998,MATCH(1,INDEX((TRANSAKSI_LOG!$C$2:$C$998=$C$5)*(TRANSAKSI_LOG!$J$2:$J$998=H$7)*(TRANSAKSI_LOG!$E$2:$E$998&lt;=$B90)*(TRANSAKSI_LOG!$F$2:$F$998&gt;=$B90),0),0)) &amp; " - " &amp; INDEX(TRANSAKSI_LOG!$H$2:$H$998,MATCH(1,INDEX((TRANSAKSI_LOG!$C$2:$C$998=$C$5)*(TRANSAKSI_LOG!$J$2:$J$998=H$7)*(TRANSAKSI_LOG!$E$2:$E$998&lt;=$B90)*(TRANSAKSI_LOG!$F$2:$F$998&gt;=$B90),0),0)),"")</f>
        <v/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13">
        <v>0.6215277777777778</v>
      </c>
      <c r="C91" s="66" t="str">
        <f t="array" ref="C91">IFERROR(INDEX(TRANSAKSI_LOG!$M$2:$M$998,MATCH(1,INDEX((TRANSAKSI_LOG!$C$2:$C$998=$C$5)*(TRANSAKSI_LOG!$J$2:$J$998=C$7)*(TRANSAKSI_LOG!$E$2:$E$998&lt;=$B91)*(TRANSAKSI_LOG!$F$2:$F$998&gt;=$B91),0),0)) &amp; " - " &amp; INDEX(TRANSAKSI_LOG!$H$2:$H$998,MATCH(1,INDEX((TRANSAKSI_LOG!$C$2:$C$998=$C$5)*(TRANSAKSI_LOG!$J$2:$J$998=C$7)*(TRANSAKSI_LOG!$E$2:$E$998&lt;=$B91)*(TRANSAKSI_LOG!$F$2:$F$998&gt;=$B91),0),0)),"")</f>
        <v/>
      </c>
      <c r="D91" s="66" t="str">
        <f t="array" ref="D91">IFERROR(INDEX(TRANSAKSI_LOG!$M$2:$M$998,MATCH(1,INDEX((TRANSAKSI_LOG!$C$2:$C$998=$C$5)*(TRANSAKSI_LOG!$J$2:$J$998=D$7)*(TRANSAKSI_LOG!$E$2:$E$998&lt;=$B91)*(TRANSAKSI_LOG!$F$2:$F$998&gt;=$B91),0),0)) &amp; " - " &amp; INDEX(TRANSAKSI_LOG!$H$2:$H$998,MATCH(1,INDEX((TRANSAKSI_LOG!$C$2:$C$998=$C$5)*(TRANSAKSI_LOG!$J$2:$J$998=D$7)*(TRANSAKSI_LOG!$E$2:$E$998&lt;=$B91)*(TRANSAKSI_LOG!$F$2:$F$998&gt;=$B91),0),0)),"")</f>
        <v/>
      </c>
      <c r="E91" s="66" t="str">
        <f t="array" ref="E91">IFERROR(INDEX(TRANSAKSI_LOG!$M$2:$M$998,MATCH(1,INDEX((TRANSAKSI_LOG!$C$2:$C$998=$C$5)*(TRANSAKSI_LOG!$J$2:$J$998=E$7)*(TRANSAKSI_LOG!$E$2:$E$998&lt;=$B91)*(TRANSAKSI_LOG!$F$2:$F$998&gt;=$B91),0),0)) &amp; " - " &amp; INDEX(TRANSAKSI_LOG!$H$2:$H$998,MATCH(1,INDEX((TRANSAKSI_LOG!$C$2:$C$998=$C$5)*(TRANSAKSI_LOG!$J$2:$J$998=E$7)*(TRANSAKSI_LOG!$E$2:$E$998&lt;=$B91)*(TRANSAKSI_LOG!$F$2:$F$998&gt;=$B91),0),0)),"")</f>
        <v/>
      </c>
      <c r="F91" s="66" t="str">
        <f t="array" ref="F91">IFERROR(INDEX(TRANSAKSI_LOG!$M$2:$M$998,MATCH(1,INDEX((TRANSAKSI_LOG!$C$2:$C$998=$C$5)*(TRANSAKSI_LOG!$J$2:$J$998=F$7)*(TRANSAKSI_LOG!$E$2:$E$998&lt;=$B91)*(TRANSAKSI_LOG!$F$2:$F$998&gt;=$B91),0),0)) &amp; " - " &amp; INDEX(TRANSAKSI_LOG!$H$2:$H$998,MATCH(1,INDEX((TRANSAKSI_LOG!$C$2:$C$998=$C$5)*(TRANSAKSI_LOG!$J$2:$J$998=F$7)*(TRANSAKSI_LOG!$E$2:$E$998&lt;=$B91)*(TRANSAKSI_LOG!$F$2:$F$998&gt;=$B91),0),0)),"")</f>
        <v/>
      </c>
      <c r="G91" s="66" t="str">
        <f t="array" ref="G91">IFERROR(INDEX(TRANSAKSI_LOG!$M$2:$M$998,MATCH(1,INDEX((TRANSAKSI_LOG!$C$2:$C$998=$C$5)*(TRANSAKSI_LOG!$J$2:$J$998=G$7)*(TRANSAKSI_LOG!$E$2:$E$998&lt;=$B91)*(TRANSAKSI_LOG!$F$2:$F$998&gt;=$B91),0),0)) &amp; " - " &amp; INDEX(TRANSAKSI_LOG!$H$2:$H$998,MATCH(1,INDEX((TRANSAKSI_LOG!$C$2:$C$998=$C$5)*(TRANSAKSI_LOG!$J$2:$J$998=G$7)*(TRANSAKSI_LOG!$E$2:$E$998&lt;=$B91)*(TRANSAKSI_LOG!$F$2:$F$998&gt;=$B91),0),0)),"")</f>
        <v/>
      </c>
      <c r="H91" s="66" t="str">
        <f t="array" ref="H91">IFERROR(INDEX(TRANSAKSI_LOG!$M$2:$M$998,MATCH(1,INDEX((TRANSAKSI_LOG!$C$2:$C$998=$C$5)*(TRANSAKSI_LOG!$J$2:$J$998=H$7)*(TRANSAKSI_LOG!$E$2:$E$998&lt;=$B91)*(TRANSAKSI_LOG!$F$2:$F$998&gt;=$B91),0),0)) &amp; " - " &amp; INDEX(TRANSAKSI_LOG!$H$2:$H$998,MATCH(1,INDEX((TRANSAKSI_LOG!$C$2:$C$998=$C$5)*(TRANSAKSI_LOG!$J$2:$J$998=H$7)*(TRANSAKSI_LOG!$E$2:$E$998&lt;=$B91)*(TRANSAKSI_LOG!$F$2:$F$998&gt;=$B91),0),0)),"")</f>
        <v/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13">
        <v>0.625</v>
      </c>
      <c r="C92" s="66" t="str">
        <f t="array" ref="C92">IFERROR(INDEX(TRANSAKSI_LOG!$M$2:$M$998,MATCH(1,INDEX((TRANSAKSI_LOG!$C$2:$C$998=$C$5)*(TRANSAKSI_LOG!$J$2:$J$998=C$7)*(TRANSAKSI_LOG!$E$2:$E$998&lt;=$B92)*(TRANSAKSI_LOG!$F$2:$F$998&gt;=$B92),0),0)) &amp; " - " &amp; INDEX(TRANSAKSI_LOG!$H$2:$H$998,MATCH(1,INDEX((TRANSAKSI_LOG!$C$2:$C$998=$C$5)*(TRANSAKSI_LOG!$J$2:$J$998=C$7)*(TRANSAKSI_LOG!$E$2:$E$998&lt;=$B92)*(TRANSAKSI_LOG!$F$2:$F$998&gt;=$B92),0),0)),"")</f>
        <v/>
      </c>
      <c r="D92" s="66" t="str">
        <f t="array" ref="D92">IFERROR(INDEX(TRANSAKSI_LOG!$M$2:$M$998,MATCH(1,INDEX((TRANSAKSI_LOG!$C$2:$C$998=$C$5)*(TRANSAKSI_LOG!$J$2:$J$998=D$7)*(TRANSAKSI_LOG!$E$2:$E$998&lt;=$B92)*(TRANSAKSI_LOG!$F$2:$F$998&gt;=$B92),0),0)) &amp; " - " &amp; INDEX(TRANSAKSI_LOG!$H$2:$H$998,MATCH(1,INDEX((TRANSAKSI_LOG!$C$2:$C$998=$C$5)*(TRANSAKSI_LOG!$J$2:$J$998=D$7)*(TRANSAKSI_LOG!$E$2:$E$998&lt;=$B92)*(TRANSAKSI_LOG!$F$2:$F$998&gt;=$B92),0),0)),"")</f>
        <v/>
      </c>
      <c r="E92" s="66" t="str">
        <f t="array" ref="E92">IFERROR(INDEX(TRANSAKSI_LOG!$M$2:$M$998,MATCH(1,INDEX((TRANSAKSI_LOG!$C$2:$C$998=$C$5)*(TRANSAKSI_LOG!$J$2:$J$998=E$7)*(TRANSAKSI_LOG!$E$2:$E$998&lt;=$B92)*(TRANSAKSI_LOG!$F$2:$F$998&gt;=$B92),0),0)) &amp; " - " &amp; INDEX(TRANSAKSI_LOG!$H$2:$H$998,MATCH(1,INDEX((TRANSAKSI_LOG!$C$2:$C$998=$C$5)*(TRANSAKSI_LOG!$J$2:$J$998=E$7)*(TRANSAKSI_LOG!$E$2:$E$998&lt;=$B92)*(TRANSAKSI_LOG!$F$2:$F$998&gt;=$B92),0),0)),"")</f>
        <v/>
      </c>
      <c r="F92" s="66" t="str">
        <f t="array" ref="F92">IFERROR(INDEX(TRANSAKSI_LOG!$M$2:$M$998,MATCH(1,INDEX((TRANSAKSI_LOG!$C$2:$C$998=$C$5)*(TRANSAKSI_LOG!$J$2:$J$998=F$7)*(TRANSAKSI_LOG!$E$2:$E$998&lt;=$B92)*(TRANSAKSI_LOG!$F$2:$F$998&gt;=$B92),0),0)) &amp; " - " &amp; INDEX(TRANSAKSI_LOG!$H$2:$H$998,MATCH(1,INDEX((TRANSAKSI_LOG!$C$2:$C$998=$C$5)*(TRANSAKSI_LOG!$J$2:$J$998=F$7)*(TRANSAKSI_LOG!$E$2:$E$998&lt;=$B92)*(TRANSAKSI_LOG!$F$2:$F$998&gt;=$B92),0),0)),"")</f>
        <v/>
      </c>
      <c r="G92" s="66" t="str">
        <f t="array" ref="G92">IFERROR(INDEX(TRANSAKSI_LOG!$M$2:$M$998,MATCH(1,INDEX((TRANSAKSI_LOG!$C$2:$C$998=$C$5)*(TRANSAKSI_LOG!$J$2:$J$998=G$7)*(TRANSAKSI_LOG!$E$2:$E$998&lt;=$B92)*(TRANSAKSI_LOG!$F$2:$F$998&gt;=$B92),0),0)) &amp; " - " &amp; INDEX(TRANSAKSI_LOG!$H$2:$H$998,MATCH(1,INDEX((TRANSAKSI_LOG!$C$2:$C$998=$C$5)*(TRANSAKSI_LOG!$J$2:$J$998=G$7)*(TRANSAKSI_LOG!$E$2:$E$998&lt;=$B92)*(TRANSAKSI_LOG!$F$2:$F$998&gt;=$B92),0),0)),"")</f>
        <v/>
      </c>
      <c r="H92" s="66" t="str">
        <f t="array" ref="H92">IFERROR(INDEX(TRANSAKSI_LOG!$M$2:$M$998,MATCH(1,INDEX((TRANSAKSI_LOG!$C$2:$C$998=$C$5)*(TRANSAKSI_LOG!$J$2:$J$998=H$7)*(TRANSAKSI_LOG!$E$2:$E$998&lt;=$B92)*(TRANSAKSI_LOG!$F$2:$F$998&gt;=$B92),0),0)) &amp; " - " &amp; INDEX(TRANSAKSI_LOG!$H$2:$H$998,MATCH(1,INDEX((TRANSAKSI_LOG!$C$2:$C$998=$C$5)*(TRANSAKSI_LOG!$J$2:$J$998=H$7)*(TRANSAKSI_LOG!$E$2:$E$998&lt;=$B92)*(TRANSAKSI_LOG!$F$2:$F$998&gt;=$B92),0),0)),"")</f>
        <v/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13">
        <v>0.6284722222222222</v>
      </c>
      <c r="C93" s="66" t="str">
        <f t="array" ref="C93">IFERROR(INDEX(TRANSAKSI_LOG!$M$2:$M$998,MATCH(1,INDEX((TRANSAKSI_LOG!$C$2:$C$998=$C$5)*(TRANSAKSI_LOG!$J$2:$J$998=C$7)*(TRANSAKSI_LOG!$E$2:$E$998&lt;=$B93)*(TRANSAKSI_LOG!$F$2:$F$998&gt;=$B93),0),0)) &amp; " - " &amp; INDEX(TRANSAKSI_LOG!$H$2:$H$998,MATCH(1,INDEX((TRANSAKSI_LOG!$C$2:$C$998=$C$5)*(TRANSAKSI_LOG!$J$2:$J$998=C$7)*(TRANSAKSI_LOG!$E$2:$E$998&lt;=$B93)*(TRANSAKSI_LOG!$F$2:$F$998&gt;=$B93),0),0)),"")</f>
        <v/>
      </c>
      <c r="D93" s="66" t="str">
        <f t="array" ref="D93">IFERROR(INDEX(TRANSAKSI_LOG!$M$2:$M$998,MATCH(1,INDEX((TRANSAKSI_LOG!$C$2:$C$998=$C$5)*(TRANSAKSI_LOG!$J$2:$J$998=D$7)*(TRANSAKSI_LOG!$E$2:$E$998&lt;=$B93)*(TRANSAKSI_LOG!$F$2:$F$998&gt;=$B93),0),0)) &amp; " - " &amp; INDEX(TRANSAKSI_LOG!$H$2:$H$998,MATCH(1,INDEX((TRANSAKSI_LOG!$C$2:$C$998=$C$5)*(TRANSAKSI_LOG!$J$2:$J$998=D$7)*(TRANSAKSI_LOG!$E$2:$E$998&lt;=$B93)*(TRANSAKSI_LOG!$F$2:$F$998&gt;=$B93),0),0)),"")</f>
        <v/>
      </c>
      <c r="E93" s="66" t="str">
        <f t="array" ref="E93">IFERROR(INDEX(TRANSAKSI_LOG!$M$2:$M$998,MATCH(1,INDEX((TRANSAKSI_LOG!$C$2:$C$998=$C$5)*(TRANSAKSI_LOG!$J$2:$J$998=E$7)*(TRANSAKSI_LOG!$E$2:$E$998&lt;=$B93)*(TRANSAKSI_LOG!$F$2:$F$998&gt;=$B93),0),0)) &amp; " - " &amp; INDEX(TRANSAKSI_LOG!$H$2:$H$998,MATCH(1,INDEX((TRANSAKSI_LOG!$C$2:$C$998=$C$5)*(TRANSAKSI_LOG!$J$2:$J$998=E$7)*(TRANSAKSI_LOG!$E$2:$E$998&lt;=$B93)*(TRANSAKSI_LOG!$F$2:$F$998&gt;=$B93),0),0)),"")</f>
        <v/>
      </c>
      <c r="F93" s="66" t="str">
        <f t="array" ref="F93">IFERROR(INDEX(TRANSAKSI_LOG!$M$2:$M$998,MATCH(1,INDEX((TRANSAKSI_LOG!$C$2:$C$998=$C$5)*(TRANSAKSI_LOG!$J$2:$J$998=F$7)*(TRANSAKSI_LOG!$E$2:$E$998&lt;=$B93)*(TRANSAKSI_LOG!$F$2:$F$998&gt;=$B93),0),0)) &amp; " - " &amp; INDEX(TRANSAKSI_LOG!$H$2:$H$998,MATCH(1,INDEX((TRANSAKSI_LOG!$C$2:$C$998=$C$5)*(TRANSAKSI_LOG!$J$2:$J$998=F$7)*(TRANSAKSI_LOG!$E$2:$E$998&lt;=$B93)*(TRANSAKSI_LOG!$F$2:$F$998&gt;=$B93),0),0)),"")</f>
        <v/>
      </c>
      <c r="G93" s="66" t="str">
        <f t="array" ref="G93">IFERROR(INDEX(TRANSAKSI_LOG!$M$2:$M$998,MATCH(1,INDEX((TRANSAKSI_LOG!$C$2:$C$998=$C$5)*(TRANSAKSI_LOG!$J$2:$J$998=G$7)*(TRANSAKSI_LOG!$E$2:$E$998&lt;=$B93)*(TRANSAKSI_LOG!$F$2:$F$998&gt;=$B93),0),0)) &amp; " - " &amp; INDEX(TRANSAKSI_LOG!$H$2:$H$998,MATCH(1,INDEX((TRANSAKSI_LOG!$C$2:$C$998=$C$5)*(TRANSAKSI_LOG!$J$2:$J$998=G$7)*(TRANSAKSI_LOG!$E$2:$E$998&lt;=$B93)*(TRANSAKSI_LOG!$F$2:$F$998&gt;=$B93),0),0)),"")</f>
        <v/>
      </c>
      <c r="H93" s="66" t="str">
        <f t="array" ref="H93">IFERROR(INDEX(TRANSAKSI_LOG!$M$2:$M$998,MATCH(1,INDEX((TRANSAKSI_LOG!$C$2:$C$998=$C$5)*(TRANSAKSI_LOG!$J$2:$J$998=H$7)*(TRANSAKSI_LOG!$E$2:$E$998&lt;=$B93)*(TRANSAKSI_LOG!$F$2:$F$998&gt;=$B93),0),0)) &amp; " - " &amp; INDEX(TRANSAKSI_LOG!$H$2:$H$998,MATCH(1,INDEX((TRANSAKSI_LOG!$C$2:$C$998=$C$5)*(TRANSAKSI_LOG!$J$2:$J$998=H$7)*(TRANSAKSI_LOG!$E$2:$E$998&lt;=$B93)*(TRANSAKSI_LOG!$F$2:$F$998&gt;=$B93),0),0)),"")</f>
        <v/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13">
        <v>0.6319444444444444</v>
      </c>
      <c r="C94" s="66" t="str">
        <f t="array" ref="C94">IFERROR(INDEX(TRANSAKSI_LOG!$M$2:$M$998,MATCH(1,INDEX((TRANSAKSI_LOG!$C$2:$C$998=$C$5)*(TRANSAKSI_LOG!$J$2:$J$998=C$7)*(TRANSAKSI_LOG!$E$2:$E$998&lt;=$B94)*(TRANSAKSI_LOG!$F$2:$F$998&gt;=$B94),0),0)) &amp; " - " &amp; INDEX(TRANSAKSI_LOG!$H$2:$H$998,MATCH(1,INDEX((TRANSAKSI_LOG!$C$2:$C$998=$C$5)*(TRANSAKSI_LOG!$J$2:$J$998=C$7)*(TRANSAKSI_LOG!$E$2:$E$998&lt;=$B94)*(TRANSAKSI_LOG!$F$2:$F$998&gt;=$B94),0),0)),"")</f>
        <v/>
      </c>
      <c r="D94" s="66" t="str">
        <f t="array" ref="D94">IFERROR(INDEX(TRANSAKSI_LOG!$M$2:$M$998,MATCH(1,INDEX((TRANSAKSI_LOG!$C$2:$C$998=$C$5)*(TRANSAKSI_LOG!$J$2:$J$998=D$7)*(TRANSAKSI_LOG!$E$2:$E$998&lt;=$B94)*(TRANSAKSI_LOG!$F$2:$F$998&gt;=$B94),0),0)) &amp; " - " &amp; INDEX(TRANSAKSI_LOG!$H$2:$H$998,MATCH(1,INDEX((TRANSAKSI_LOG!$C$2:$C$998=$C$5)*(TRANSAKSI_LOG!$J$2:$J$998=D$7)*(TRANSAKSI_LOG!$E$2:$E$998&lt;=$B94)*(TRANSAKSI_LOG!$F$2:$F$998&gt;=$B94),0),0)),"")</f>
        <v/>
      </c>
      <c r="E94" s="66" t="str">
        <f t="array" ref="E94">IFERROR(INDEX(TRANSAKSI_LOG!$M$2:$M$998,MATCH(1,INDEX((TRANSAKSI_LOG!$C$2:$C$998=$C$5)*(TRANSAKSI_LOG!$J$2:$J$998=E$7)*(TRANSAKSI_LOG!$E$2:$E$998&lt;=$B94)*(TRANSAKSI_LOG!$F$2:$F$998&gt;=$B94),0),0)) &amp; " - " &amp; INDEX(TRANSAKSI_LOG!$H$2:$H$998,MATCH(1,INDEX((TRANSAKSI_LOG!$C$2:$C$998=$C$5)*(TRANSAKSI_LOG!$J$2:$J$998=E$7)*(TRANSAKSI_LOG!$E$2:$E$998&lt;=$B94)*(TRANSAKSI_LOG!$F$2:$F$998&gt;=$B94),0),0)),"")</f>
        <v/>
      </c>
      <c r="F94" s="66" t="str">
        <f t="array" ref="F94">IFERROR(INDEX(TRANSAKSI_LOG!$M$2:$M$998,MATCH(1,INDEX((TRANSAKSI_LOG!$C$2:$C$998=$C$5)*(TRANSAKSI_LOG!$J$2:$J$998=F$7)*(TRANSAKSI_LOG!$E$2:$E$998&lt;=$B94)*(TRANSAKSI_LOG!$F$2:$F$998&gt;=$B94),0),0)) &amp; " - " &amp; INDEX(TRANSAKSI_LOG!$H$2:$H$998,MATCH(1,INDEX((TRANSAKSI_LOG!$C$2:$C$998=$C$5)*(TRANSAKSI_LOG!$J$2:$J$998=F$7)*(TRANSAKSI_LOG!$E$2:$E$998&lt;=$B94)*(TRANSAKSI_LOG!$F$2:$F$998&gt;=$B94),0),0)),"")</f>
        <v/>
      </c>
      <c r="G94" s="66" t="str">
        <f t="array" ref="G94">IFERROR(INDEX(TRANSAKSI_LOG!$M$2:$M$998,MATCH(1,INDEX((TRANSAKSI_LOG!$C$2:$C$998=$C$5)*(TRANSAKSI_LOG!$J$2:$J$998=G$7)*(TRANSAKSI_LOG!$E$2:$E$998&lt;=$B94)*(TRANSAKSI_LOG!$F$2:$F$998&gt;=$B94),0),0)) &amp; " - " &amp; INDEX(TRANSAKSI_LOG!$H$2:$H$998,MATCH(1,INDEX((TRANSAKSI_LOG!$C$2:$C$998=$C$5)*(TRANSAKSI_LOG!$J$2:$J$998=G$7)*(TRANSAKSI_LOG!$E$2:$E$998&lt;=$B94)*(TRANSAKSI_LOG!$F$2:$F$998&gt;=$B94),0),0)),"")</f>
        <v/>
      </c>
      <c r="H94" s="66" t="str">
        <f t="array" ref="H94">IFERROR(INDEX(TRANSAKSI_LOG!$M$2:$M$998,MATCH(1,INDEX((TRANSAKSI_LOG!$C$2:$C$998=$C$5)*(TRANSAKSI_LOG!$J$2:$J$998=H$7)*(TRANSAKSI_LOG!$E$2:$E$998&lt;=$B94)*(TRANSAKSI_LOG!$F$2:$F$998&gt;=$B94),0),0)) &amp; " - " &amp; INDEX(TRANSAKSI_LOG!$H$2:$H$998,MATCH(1,INDEX((TRANSAKSI_LOG!$C$2:$C$998=$C$5)*(TRANSAKSI_LOG!$J$2:$J$998=H$7)*(TRANSAKSI_LOG!$E$2:$E$998&lt;=$B94)*(TRANSAKSI_LOG!$F$2:$F$998&gt;=$B94),0),0)),"")</f>
        <v/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13">
        <v>0.6354166666666666</v>
      </c>
      <c r="C95" s="66" t="str">
        <f t="array" ref="C95">IFERROR(INDEX(TRANSAKSI_LOG!$M$2:$M$998,MATCH(1,INDEX((TRANSAKSI_LOG!$C$2:$C$998=$C$5)*(TRANSAKSI_LOG!$J$2:$J$998=C$7)*(TRANSAKSI_LOG!$E$2:$E$998&lt;=$B95)*(TRANSAKSI_LOG!$F$2:$F$998&gt;=$B95),0),0)) &amp; " - " &amp; INDEX(TRANSAKSI_LOG!$H$2:$H$998,MATCH(1,INDEX((TRANSAKSI_LOG!$C$2:$C$998=$C$5)*(TRANSAKSI_LOG!$J$2:$J$998=C$7)*(TRANSAKSI_LOG!$E$2:$E$998&lt;=$B95)*(TRANSAKSI_LOG!$F$2:$F$998&gt;=$B95),0),0)),"")</f>
        <v/>
      </c>
      <c r="D95" s="66" t="str">
        <f t="array" ref="D95">IFERROR(INDEX(TRANSAKSI_LOG!$M$2:$M$998,MATCH(1,INDEX((TRANSAKSI_LOG!$C$2:$C$998=$C$5)*(TRANSAKSI_LOG!$J$2:$J$998=D$7)*(TRANSAKSI_LOG!$E$2:$E$998&lt;=$B95)*(TRANSAKSI_LOG!$F$2:$F$998&gt;=$B95),0),0)) &amp; " - " &amp; INDEX(TRANSAKSI_LOG!$H$2:$H$998,MATCH(1,INDEX((TRANSAKSI_LOG!$C$2:$C$998=$C$5)*(TRANSAKSI_LOG!$J$2:$J$998=D$7)*(TRANSAKSI_LOG!$E$2:$E$998&lt;=$B95)*(TRANSAKSI_LOG!$F$2:$F$998&gt;=$B95),0),0)),"")</f>
        <v/>
      </c>
      <c r="E95" s="66" t="str">
        <f t="array" ref="E95">IFERROR(INDEX(TRANSAKSI_LOG!$M$2:$M$998,MATCH(1,INDEX((TRANSAKSI_LOG!$C$2:$C$998=$C$5)*(TRANSAKSI_LOG!$J$2:$J$998=E$7)*(TRANSAKSI_LOG!$E$2:$E$998&lt;=$B95)*(TRANSAKSI_LOG!$F$2:$F$998&gt;=$B95),0),0)) &amp; " - " &amp; INDEX(TRANSAKSI_LOG!$H$2:$H$998,MATCH(1,INDEX((TRANSAKSI_LOG!$C$2:$C$998=$C$5)*(TRANSAKSI_LOG!$J$2:$J$998=E$7)*(TRANSAKSI_LOG!$E$2:$E$998&lt;=$B95)*(TRANSAKSI_LOG!$F$2:$F$998&gt;=$B95),0),0)),"")</f>
        <v/>
      </c>
      <c r="F95" s="66" t="str">
        <f t="array" ref="F95">IFERROR(INDEX(TRANSAKSI_LOG!$M$2:$M$998,MATCH(1,INDEX((TRANSAKSI_LOG!$C$2:$C$998=$C$5)*(TRANSAKSI_LOG!$J$2:$J$998=F$7)*(TRANSAKSI_LOG!$E$2:$E$998&lt;=$B95)*(TRANSAKSI_LOG!$F$2:$F$998&gt;=$B95),0),0)) &amp; " - " &amp; INDEX(TRANSAKSI_LOG!$H$2:$H$998,MATCH(1,INDEX((TRANSAKSI_LOG!$C$2:$C$998=$C$5)*(TRANSAKSI_LOG!$J$2:$J$998=F$7)*(TRANSAKSI_LOG!$E$2:$E$998&lt;=$B95)*(TRANSAKSI_LOG!$F$2:$F$998&gt;=$B95),0),0)),"")</f>
        <v/>
      </c>
      <c r="G95" s="66" t="str">
        <f t="array" ref="G95">IFERROR(INDEX(TRANSAKSI_LOG!$M$2:$M$998,MATCH(1,INDEX((TRANSAKSI_LOG!$C$2:$C$998=$C$5)*(TRANSAKSI_LOG!$J$2:$J$998=G$7)*(TRANSAKSI_LOG!$E$2:$E$998&lt;=$B95)*(TRANSAKSI_LOG!$F$2:$F$998&gt;=$B95),0),0)) &amp; " - " &amp; INDEX(TRANSAKSI_LOG!$H$2:$H$998,MATCH(1,INDEX((TRANSAKSI_LOG!$C$2:$C$998=$C$5)*(TRANSAKSI_LOG!$J$2:$J$998=G$7)*(TRANSAKSI_LOG!$E$2:$E$998&lt;=$B95)*(TRANSAKSI_LOG!$F$2:$F$998&gt;=$B95),0),0)),"")</f>
        <v/>
      </c>
      <c r="H95" s="66" t="str">
        <f t="array" ref="H95">IFERROR(INDEX(TRANSAKSI_LOG!$M$2:$M$998,MATCH(1,INDEX((TRANSAKSI_LOG!$C$2:$C$998=$C$5)*(TRANSAKSI_LOG!$J$2:$J$998=H$7)*(TRANSAKSI_LOG!$E$2:$E$998&lt;=$B95)*(TRANSAKSI_LOG!$F$2:$F$998&gt;=$B95),0),0)) &amp; " - " &amp; INDEX(TRANSAKSI_LOG!$H$2:$H$998,MATCH(1,INDEX((TRANSAKSI_LOG!$C$2:$C$998=$C$5)*(TRANSAKSI_LOG!$J$2:$J$998=H$7)*(TRANSAKSI_LOG!$E$2:$E$998&lt;=$B95)*(TRANSAKSI_LOG!$F$2:$F$998&gt;=$B95),0),0)),"")</f>
        <v/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13">
        <v>0.6388888888888888</v>
      </c>
      <c r="C96" s="66" t="str">
        <f t="array" ref="C96">IFERROR(INDEX(TRANSAKSI_LOG!$M$2:$M$998,MATCH(1,INDEX((TRANSAKSI_LOG!$C$2:$C$998=$C$5)*(TRANSAKSI_LOG!$J$2:$J$998=C$7)*(TRANSAKSI_LOG!$E$2:$E$998&lt;=$B96)*(TRANSAKSI_LOG!$F$2:$F$998&gt;=$B96),0),0)) &amp; " - " &amp; INDEX(TRANSAKSI_LOG!$H$2:$H$998,MATCH(1,INDEX((TRANSAKSI_LOG!$C$2:$C$998=$C$5)*(TRANSAKSI_LOG!$J$2:$J$998=C$7)*(TRANSAKSI_LOG!$E$2:$E$998&lt;=$B96)*(TRANSAKSI_LOG!$F$2:$F$998&gt;=$B96),0),0)),"")</f>
        <v/>
      </c>
      <c r="D96" s="66" t="str">
        <f t="array" ref="D96">IFERROR(INDEX(TRANSAKSI_LOG!$M$2:$M$998,MATCH(1,INDEX((TRANSAKSI_LOG!$C$2:$C$998=$C$5)*(TRANSAKSI_LOG!$J$2:$J$998=D$7)*(TRANSAKSI_LOG!$E$2:$E$998&lt;=$B96)*(TRANSAKSI_LOG!$F$2:$F$998&gt;=$B96),0),0)) &amp; " - " &amp; INDEX(TRANSAKSI_LOG!$H$2:$H$998,MATCH(1,INDEX((TRANSAKSI_LOG!$C$2:$C$998=$C$5)*(TRANSAKSI_LOG!$J$2:$J$998=D$7)*(TRANSAKSI_LOG!$E$2:$E$998&lt;=$B96)*(TRANSAKSI_LOG!$F$2:$F$998&gt;=$B96),0),0)),"")</f>
        <v/>
      </c>
      <c r="E96" s="66" t="str">
        <f t="array" ref="E96">IFERROR(INDEX(TRANSAKSI_LOG!$M$2:$M$998,MATCH(1,INDEX((TRANSAKSI_LOG!$C$2:$C$998=$C$5)*(TRANSAKSI_LOG!$J$2:$J$998=E$7)*(TRANSAKSI_LOG!$E$2:$E$998&lt;=$B96)*(TRANSAKSI_LOG!$F$2:$F$998&gt;=$B96),0),0)) &amp; " - " &amp; INDEX(TRANSAKSI_LOG!$H$2:$H$998,MATCH(1,INDEX((TRANSAKSI_LOG!$C$2:$C$998=$C$5)*(TRANSAKSI_LOG!$J$2:$J$998=E$7)*(TRANSAKSI_LOG!$E$2:$E$998&lt;=$B96)*(TRANSAKSI_LOG!$F$2:$F$998&gt;=$B96),0),0)),"")</f>
        <v/>
      </c>
      <c r="F96" s="66" t="str">
        <f t="array" ref="F96">IFERROR(INDEX(TRANSAKSI_LOG!$M$2:$M$998,MATCH(1,INDEX((TRANSAKSI_LOG!$C$2:$C$998=$C$5)*(TRANSAKSI_LOG!$J$2:$J$998=F$7)*(TRANSAKSI_LOG!$E$2:$E$998&lt;=$B96)*(TRANSAKSI_LOG!$F$2:$F$998&gt;=$B96),0),0)) &amp; " - " &amp; INDEX(TRANSAKSI_LOG!$H$2:$H$998,MATCH(1,INDEX((TRANSAKSI_LOG!$C$2:$C$998=$C$5)*(TRANSAKSI_LOG!$J$2:$J$998=F$7)*(TRANSAKSI_LOG!$E$2:$E$998&lt;=$B96)*(TRANSAKSI_LOG!$F$2:$F$998&gt;=$B96),0),0)),"")</f>
        <v/>
      </c>
      <c r="G96" s="66" t="str">
        <f t="array" ref="G96">IFERROR(INDEX(TRANSAKSI_LOG!$M$2:$M$998,MATCH(1,INDEX((TRANSAKSI_LOG!$C$2:$C$998=$C$5)*(TRANSAKSI_LOG!$J$2:$J$998=G$7)*(TRANSAKSI_LOG!$E$2:$E$998&lt;=$B96)*(TRANSAKSI_LOG!$F$2:$F$998&gt;=$B96),0),0)) &amp; " - " &amp; INDEX(TRANSAKSI_LOG!$H$2:$H$998,MATCH(1,INDEX((TRANSAKSI_LOG!$C$2:$C$998=$C$5)*(TRANSAKSI_LOG!$J$2:$J$998=G$7)*(TRANSAKSI_LOG!$E$2:$E$998&lt;=$B96)*(TRANSAKSI_LOG!$F$2:$F$998&gt;=$B96),0),0)),"")</f>
        <v/>
      </c>
      <c r="H96" s="66" t="str">
        <f t="array" ref="H96">IFERROR(INDEX(TRANSAKSI_LOG!$M$2:$M$998,MATCH(1,INDEX((TRANSAKSI_LOG!$C$2:$C$998=$C$5)*(TRANSAKSI_LOG!$J$2:$J$998=H$7)*(TRANSAKSI_LOG!$E$2:$E$998&lt;=$B96)*(TRANSAKSI_LOG!$F$2:$F$998&gt;=$B96),0),0)) &amp; " - " &amp; INDEX(TRANSAKSI_LOG!$H$2:$H$998,MATCH(1,INDEX((TRANSAKSI_LOG!$C$2:$C$998=$C$5)*(TRANSAKSI_LOG!$J$2:$J$998=H$7)*(TRANSAKSI_LOG!$E$2:$E$998&lt;=$B96)*(TRANSAKSI_LOG!$F$2:$F$998&gt;=$B96),0),0)),"")</f>
        <v/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13">
        <v>0.6423611111111112</v>
      </c>
      <c r="C97" s="66" t="str">
        <f t="array" ref="C97">IFERROR(INDEX(TRANSAKSI_LOG!$M$2:$M$998,MATCH(1,INDEX((TRANSAKSI_LOG!$C$2:$C$998=$C$5)*(TRANSAKSI_LOG!$J$2:$J$998=C$7)*(TRANSAKSI_LOG!$E$2:$E$998&lt;=$B97)*(TRANSAKSI_LOG!$F$2:$F$998&gt;=$B97),0),0)) &amp; " - " &amp; INDEX(TRANSAKSI_LOG!$H$2:$H$998,MATCH(1,INDEX((TRANSAKSI_LOG!$C$2:$C$998=$C$5)*(TRANSAKSI_LOG!$J$2:$J$998=C$7)*(TRANSAKSI_LOG!$E$2:$E$998&lt;=$B97)*(TRANSAKSI_LOG!$F$2:$F$998&gt;=$B97),0),0)),"")</f>
        <v/>
      </c>
      <c r="D97" s="66" t="str">
        <f t="array" ref="D97">IFERROR(INDEX(TRANSAKSI_LOG!$M$2:$M$998,MATCH(1,INDEX((TRANSAKSI_LOG!$C$2:$C$998=$C$5)*(TRANSAKSI_LOG!$J$2:$J$998=D$7)*(TRANSAKSI_LOG!$E$2:$E$998&lt;=$B97)*(TRANSAKSI_LOG!$F$2:$F$998&gt;=$B97),0),0)) &amp; " - " &amp; INDEX(TRANSAKSI_LOG!$H$2:$H$998,MATCH(1,INDEX((TRANSAKSI_LOG!$C$2:$C$998=$C$5)*(TRANSAKSI_LOG!$J$2:$J$998=D$7)*(TRANSAKSI_LOG!$E$2:$E$998&lt;=$B97)*(TRANSAKSI_LOG!$F$2:$F$998&gt;=$B97),0),0)),"")</f>
        <v/>
      </c>
      <c r="E97" s="66" t="str">
        <f t="array" ref="E97">IFERROR(INDEX(TRANSAKSI_LOG!$M$2:$M$998,MATCH(1,INDEX((TRANSAKSI_LOG!$C$2:$C$998=$C$5)*(TRANSAKSI_LOG!$J$2:$J$998=E$7)*(TRANSAKSI_LOG!$E$2:$E$998&lt;=$B97)*(TRANSAKSI_LOG!$F$2:$F$998&gt;=$B97),0),0)) &amp; " - " &amp; INDEX(TRANSAKSI_LOG!$H$2:$H$998,MATCH(1,INDEX((TRANSAKSI_LOG!$C$2:$C$998=$C$5)*(TRANSAKSI_LOG!$J$2:$J$998=E$7)*(TRANSAKSI_LOG!$E$2:$E$998&lt;=$B97)*(TRANSAKSI_LOG!$F$2:$F$998&gt;=$B97),0),0)),"")</f>
        <v/>
      </c>
      <c r="F97" s="66" t="str">
        <f t="array" ref="F97">IFERROR(INDEX(TRANSAKSI_LOG!$M$2:$M$998,MATCH(1,INDEX((TRANSAKSI_LOG!$C$2:$C$998=$C$5)*(TRANSAKSI_LOG!$J$2:$J$998=F$7)*(TRANSAKSI_LOG!$E$2:$E$998&lt;=$B97)*(TRANSAKSI_LOG!$F$2:$F$998&gt;=$B97),0),0)) &amp; " - " &amp; INDEX(TRANSAKSI_LOG!$H$2:$H$998,MATCH(1,INDEX((TRANSAKSI_LOG!$C$2:$C$998=$C$5)*(TRANSAKSI_LOG!$J$2:$J$998=F$7)*(TRANSAKSI_LOG!$E$2:$E$998&lt;=$B97)*(TRANSAKSI_LOG!$F$2:$F$998&gt;=$B97),0),0)),"")</f>
        <v/>
      </c>
      <c r="G97" s="66" t="str">
        <f t="array" ref="G97">IFERROR(INDEX(TRANSAKSI_LOG!$M$2:$M$998,MATCH(1,INDEX((TRANSAKSI_LOG!$C$2:$C$998=$C$5)*(TRANSAKSI_LOG!$J$2:$J$998=G$7)*(TRANSAKSI_LOG!$E$2:$E$998&lt;=$B97)*(TRANSAKSI_LOG!$F$2:$F$998&gt;=$B97),0),0)) &amp; " - " &amp; INDEX(TRANSAKSI_LOG!$H$2:$H$998,MATCH(1,INDEX((TRANSAKSI_LOG!$C$2:$C$998=$C$5)*(TRANSAKSI_LOG!$J$2:$J$998=G$7)*(TRANSAKSI_LOG!$E$2:$E$998&lt;=$B97)*(TRANSAKSI_LOG!$F$2:$F$998&gt;=$B97),0),0)),"")</f>
        <v/>
      </c>
      <c r="H97" s="66" t="str">
        <f t="array" ref="H97">IFERROR(INDEX(TRANSAKSI_LOG!$M$2:$M$998,MATCH(1,INDEX((TRANSAKSI_LOG!$C$2:$C$998=$C$5)*(TRANSAKSI_LOG!$J$2:$J$998=H$7)*(TRANSAKSI_LOG!$E$2:$E$998&lt;=$B97)*(TRANSAKSI_LOG!$F$2:$F$998&gt;=$B97),0),0)) &amp; " - " &amp; INDEX(TRANSAKSI_LOG!$H$2:$H$998,MATCH(1,INDEX((TRANSAKSI_LOG!$C$2:$C$998=$C$5)*(TRANSAKSI_LOG!$J$2:$J$998=H$7)*(TRANSAKSI_LOG!$E$2:$E$998&lt;=$B97)*(TRANSAKSI_LOG!$F$2:$F$998&gt;=$B97),0),0)),"")</f>
        <v/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13">
        <v>0.6458333333333334</v>
      </c>
      <c r="C98" s="66" t="str">
        <f t="array" ref="C98">IFERROR(INDEX(TRANSAKSI_LOG!$M$2:$M$998,MATCH(1,INDEX((TRANSAKSI_LOG!$C$2:$C$998=$C$5)*(TRANSAKSI_LOG!$J$2:$J$998=C$7)*(TRANSAKSI_LOG!$E$2:$E$998&lt;=$B98)*(TRANSAKSI_LOG!$F$2:$F$998&gt;=$B98),0),0)) &amp; " - " &amp; INDEX(TRANSAKSI_LOG!$H$2:$H$998,MATCH(1,INDEX((TRANSAKSI_LOG!$C$2:$C$998=$C$5)*(TRANSAKSI_LOG!$J$2:$J$998=C$7)*(TRANSAKSI_LOG!$E$2:$E$998&lt;=$B98)*(TRANSAKSI_LOG!$F$2:$F$998&gt;=$B98),0),0)),"")</f>
        <v/>
      </c>
      <c r="D98" s="66" t="str">
        <f t="array" ref="D98">IFERROR(INDEX(TRANSAKSI_LOG!$M$2:$M$998,MATCH(1,INDEX((TRANSAKSI_LOG!$C$2:$C$998=$C$5)*(TRANSAKSI_LOG!$J$2:$J$998=D$7)*(TRANSAKSI_LOG!$E$2:$E$998&lt;=$B98)*(TRANSAKSI_LOG!$F$2:$F$998&gt;=$B98),0),0)) &amp; " - " &amp; INDEX(TRANSAKSI_LOG!$H$2:$H$998,MATCH(1,INDEX((TRANSAKSI_LOG!$C$2:$C$998=$C$5)*(TRANSAKSI_LOG!$J$2:$J$998=D$7)*(TRANSAKSI_LOG!$E$2:$E$998&lt;=$B98)*(TRANSAKSI_LOG!$F$2:$F$998&gt;=$B98),0),0)),"")</f>
        <v/>
      </c>
      <c r="E98" s="66" t="str">
        <f t="array" ref="E98">IFERROR(INDEX(TRANSAKSI_LOG!$M$2:$M$998,MATCH(1,INDEX((TRANSAKSI_LOG!$C$2:$C$998=$C$5)*(TRANSAKSI_LOG!$J$2:$J$998=E$7)*(TRANSAKSI_LOG!$E$2:$E$998&lt;=$B98)*(TRANSAKSI_LOG!$F$2:$F$998&gt;=$B98),0),0)) &amp; " - " &amp; INDEX(TRANSAKSI_LOG!$H$2:$H$998,MATCH(1,INDEX((TRANSAKSI_LOG!$C$2:$C$998=$C$5)*(TRANSAKSI_LOG!$J$2:$J$998=E$7)*(TRANSAKSI_LOG!$E$2:$E$998&lt;=$B98)*(TRANSAKSI_LOG!$F$2:$F$998&gt;=$B98),0),0)),"")</f>
        <v/>
      </c>
      <c r="F98" s="66" t="str">
        <f t="array" ref="F98">IFERROR(INDEX(TRANSAKSI_LOG!$M$2:$M$998,MATCH(1,INDEX((TRANSAKSI_LOG!$C$2:$C$998=$C$5)*(TRANSAKSI_LOG!$J$2:$J$998=F$7)*(TRANSAKSI_LOG!$E$2:$E$998&lt;=$B98)*(TRANSAKSI_LOG!$F$2:$F$998&gt;=$B98),0),0)) &amp; " - " &amp; INDEX(TRANSAKSI_LOG!$H$2:$H$998,MATCH(1,INDEX((TRANSAKSI_LOG!$C$2:$C$998=$C$5)*(TRANSAKSI_LOG!$J$2:$J$998=F$7)*(TRANSAKSI_LOG!$E$2:$E$998&lt;=$B98)*(TRANSAKSI_LOG!$F$2:$F$998&gt;=$B98),0),0)),"")</f>
        <v/>
      </c>
      <c r="G98" s="66" t="str">
        <f t="array" ref="G98">IFERROR(INDEX(TRANSAKSI_LOG!$M$2:$M$998,MATCH(1,INDEX((TRANSAKSI_LOG!$C$2:$C$998=$C$5)*(TRANSAKSI_LOG!$J$2:$J$998=G$7)*(TRANSAKSI_LOG!$E$2:$E$998&lt;=$B98)*(TRANSAKSI_LOG!$F$2:$F$998&gt;=$B98),0),0)) &amp; " - " &amp; INDEX(TRANSAKSI_LOG!$H$2:$H$998,MATCH(1,INDEX((TRANSAKSI_LOG!$C$2:$C$998=$C$5)*(TRANSAKSI_LOG!$J$2:$J$998=G$7)*(TRANSAKSI_LOG!$E$2:$E$998&lt;=$B98)*(TRANSAKSI_LOG!$F$2:$F$998&gt;=$B98),0),0)),"")</f>
        <v/>
      </c>
      <c r="H98" s="66" t="str">
        <f t="array" ref="H98">IFERROR(INDEX(TRANSAKSI_LOG!$M$2:$M$998,MATCH(1,INDEX((TRANSAKSI_LOG!$C$2:$C$998=$C$5)*(TRANSAKSI_LOG!$J$2:$J$998=H$7)*(TRANSAKSI_LOG!$E$2:$E$998&lt;=$B98)*(TRANSAKSI_LOG!$F$2:$F$998&gt;=$B98),0),0)) &amp; " - " &amp; INDEX(TRANSAKSI_LOG!$H$2:$H$998,MATCH(1,INDEX((TRANSAKSI_LOG!$C$2:$C$998=$C$5)*(TRANSAKSI_LOG!$J$2:$J$998=H$7)*(TRANSAKSI_LOG!$E$2:$E$998&lt;=$B98)*(TRANSAKSI_LOG!$F$2:$F$998&gt;=$B98),0),0)),"")</f>
        <v/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13">
        <v>0.6493055555555556</v>
      </c>
      <c r="C99" s="66" t="str">
        <f t="array" ref="C99">IFERROR(INDEX(TRANSAKSI_LOG!$M$2:$M$998,MATCH(1,INDEX((TRANSAKSI_LOG!$C$2:$C$998=$C$5)*(TRANSAKSI_LOG!$J$2:$J$998=C$7)*(TRANSAKSI_LOG!$E$2:$E$998&lt;=$B99)*(TRANSAKSI_LOG!$F$2:$F$998&gt;=$B99),0),0)) &amp; " - " &amp; INDEX(TRANSAKSI_LOG!$H$2:$H$998,MATCH(1,INDEX((TRANSAKSI_LOG!$C$2:$C$998=$C$5)*(TRANSAKSI_LOG!$J$2:$J$998=C$7)*(TRANSAKSI_LOG!$E$2:$E$998&lt;=$B99)*(TRANSAKSI_LOG!$F$2:$F$998&gt;=$B99),0),0)),"")</f>
        <v/>
      </c>
      <c r="D99" s="66" t="str">
        <f t="array" ref="D99">IFERROR(INDEX(TRANSAKSI_LOG!$M$2:$M$998,MATCH(1,INDEX((TRANSAKSI_LOG!$C$2:$C$998=$C$5)*(TRANSAKSI_LOG!$J$2:$J$998=D$7)*(TRANSAKSI_LOG!$E$2:$E$998&lt;=$B99)*(TRANSAKSI_LOG!$F$2:$F$998&gt;=$B99),0),0)) &amp; " - " &amp; INDEX(TRANSAKSI_LOG!$H$2:$H$998,MATCH(1,INDEX((TRANSAKSI_LOG!$C$2:$C$998=$C$5)*(TRANSAKSI_LOG!$J$2:$J$998=D$7)*(TRANSAKSI_LOG!$E$2:$E$998&lt;=$B99)*(TRANSAKSI_LOG!$F$2:$F$998&gt;=$B99),0),0)),"")</f>
        <v/>
      </c>
      <c r="E99" s="66" t="str">
        <f t="array" ref="E99">IFERROR(INDEX(TRANSAKSI_LOG!$M$2:$M$998,MATCH(1,INDEX((TRANSAKSI_LOG!$C$2:$C$998=$C$5)*(TRANSAKSI_LOG!$J$2:$J$998=E$7)*(TRANSAKSI_LOG!$E$2:$E$998&lt;=$B99)*(TRANSAKSI_LOG!$F$2:$F$998&gt;=$B99),0),0)) &amp; " - " &amp; INDEX(TRANSAKSI_LOG!$H$2:$H$998,MATCH(1,INDEX((TRANSAKSI_LOG!$C$2:$C$998=$C$5)*(TRANSAKSI_LOG!$J$2:$J$998=E$7)*(TRANSAKSI_LOG!$E$2:$E$998&lt;=$B99)*(TRANSAKSI_LOG!$F$2:$F$998&gt;=$B99),0),0)),"")</f>
        <v/>
      </c>
      <c r="F99" s="66" t="str">
        <f t="array" ref="F99">IFERROR(INDEX(TRANSAKSI_LOG!$M$2:$M$998,MATCH(1,INDEX((TRANSAKSI_LOG!$C$2:$C$998=$C$5)*(TRANSAKSI_LOG!$J$2:$J$998=F$7)*(TRANSAKSI_LOG!$E$2:$E$998&lt;=$B99)*(TRANSAKSI_LOG!$F$2:$F$998&gt;=$B99),0),0)) &amp; " - " &amp; INDEX(TRANSAKSI_LOG!$H$2:$H$998,MATCH(1,INDEX((TRANSAKSI_LOG!$C$2:$C$998=$C$5)*(TRANSAKSI_LOG!$J$2:$J$998=F$7)*(TRANSAKSI_LOG!$E$2:$E$998&lt;=$B99)*(TRANSAKSI_LOG!$F$2:$F$998&gt;=$B99),0),0)),"")</f>
        <v/>
      </c>
      <c r="G99" s="66" t="str">
        <f t="array" ref="G99">IFERROR(INDEX(TRANSAKSI_LOG!$M$2:$M$998,MATCH(1,INDEX((TRANSAKSI_LOG!$C$2:$C$998=$C$5)*(TRANSAKSI_LOG!$J$2:$J$998=G$7)*(TRANSAKSI_LOG!$E$2:$E$998&lt;=$B99)*(TRANSAKSI_LOG!$F$2:$F$998&gt;=$B99),0),0)) &amp; " - " &amp; INDEX(TRANSAKSI_LOG!$H$2:$H$998,MATCH(1,INDEX((TRANSAKSI_LOG!$C$2:$C$998=$C$5)*(TRANSAKSI_LOG!$J$2:$J$998=G$7)*(TRANSAKSI_LOG!$E$2:$E$998&lt;=$B99)*(TRANSAKSI_LOG!$F$2:$F$998&gt;=$B99),0),0)),"")</f>
        <v/>
      </c>
      <c r="H99" s="66" t="str">
        <f t="array" ref="H99">IFERROR(INDEX(TRANSAKSI_LOG!$M$2:$M$998,MATCH(1,INDEX((TRANSAKSI_LOG!$C$2:$C$998=$C$5)*(TRANSAKSI_LOG!$J$2:$J$998=H$7)*(TRANSAKSI_LOG!$E$2:$E$998&lt;=$B99)*(TRANSAKSI_LOG!$F$2:$F$998&gt;=$B99),0),0)) &amp; " - " &amp; INDEX(TRANSAKSI_LOG!$H$2:$H$998,MATCH(1,INDEX((TRANSAKSI_LOG!$C$2:$C$998=$C$5)*(TRANSAKSI_LOG!$J$2:$J$998=H$7)*(TRANSAKSI_LOG!$E$2:$E$998&lt;=$B99)*(TRANSAKSI_LOG!$F$2:$F$998&gt;=$B99),0),0)),"")</f>
        <v/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13">
        <v>0.6527777777777778</v>
      </c>
      <c r="C100" s="66" t="str">
        <f t="array" ref="C100">IFERROR(INDEX(TRANSAKSI_LOG!$M$2:$M$998,MATCH(1,INDEX((TRANSAKSI_LOG!$C$2:$C$998=$C$5)*(TRANSAKSI_LOG!$J$2:$J$998=C$7)*(TRANSAKSI_LOG!$E$2:$E$998&lt;=$B100)*(TRANSAKSI_LOG!$F$2:$F$998&gt;=$B100),0),0)) &amp; " - " &amp; INDEX(TRANSAKSI_LOG!$H$2:$H$998,MATCH(1,INDEX((TRANSAKSI_LOG!$C$2:$C$998=$C$5)*(TRANSAKSI_LOG!$J$2:$J$998=C$7)*(TRANSAKSI_LOG!$E$2:$E$998&lt;=$B100)*(TRANSAKSI_LOG!$F$2:$F$998&gt;=$B100),0),0)),"")</f>
        <v/>
      </c>
      <c r="D100" s="66" t="str">
        <f t="array" ref="D100">IFERROR(INDEX(TRANSAKSI_LOG!$M$2:$M$998,MATCH(1,INDEX((TRANSAKSI_LOG!$C$2:$C$998=$C$5)*(TRANSAKSI_LOG!$J$2:$J$998=D$7)*(TRANSAKSI_LOG!$E$2:$E$998&lt;=$B100)*(TRANSAKSI_LOG!$F$2:$F$998&gt;=$B100),0),0)) &amp; " - " &amp; INDEX(TRANSAKSI_LOG!$H$2:$H$998,MATCH(1,INDEX((TRANSAKSI_LOG!$C$2:$C$998=$C$5)*(TRANSAKSI_LOG!$J$2:$J$998=D$7)*(TRANSAKSI_LOG!$E$2:$E$998&lt;=$B100)*(TRANSAKSI_LOG!$F$2:$F$998&gt;=$B100),0),0)),"")</f>
        <v/>
      </c>
      <c r="E100" s="66" t="str">
        <f t="array" ref="E100">IFERROR(INDEX(TRANSAKSI_LOG!$M$2:$M$998,MATCH(1,INDEX((TRANSAKSI_LOG!$C$2:$C$998=$C$5)*(TRANSAKSI_LOG!$J$2:$J$998=E$7)*(TRANSAKSI_LOG!$E$2:$E$998&lt;=$B100)*(TRANSAKSI_LOG!$F$2:$F$998&gt;=$B100),0),0)) &amp; " - " &amp; INDEX(TRANSAKSI_LOG!$H$2:$H$998,MATCH(1,INDEX((TRANSAKSI_LOG!$C$2:$C$998=$C$5)*(TRANSAKSI_LOG!$J$2:$J$998=E$7)*(TRANSAKSI_LOG!$E$2:$E$998&lt;=$B100)*(TRANSAKSI_LOG!$F$2:$F$998&gt;=$B100),0),0)),"")</f>
        <v/>
      </c>
      <c r="F100" s="66" t="str">
        <f t="array" ref="F100">IFERROR(INDEX(TRANSAKSI_LOG!$M$2:$M$998,MATCH(1,INDEX((TRANSAKSI_LOG!$C$2:$C$998=$C$5)*(TRANSAKSI_LOG!$J$2:$J$998=F$7)*(TRANSAKSI_LOG!$E$2:$E$998&lt;=$B100)*(TRANSAKSI_LOG!$F$2:$F$998&gt;=$B100),0),0)) &amp; " - " &amp; INDEX(TRANSAKSI_LOG!$H$2:$H$998,MATCH(1,INDEX((TRANSAKSI_LOG!$C$2:$C$998=$C$5)*(TRANSAKSI_LOG!$J$2:$J$998=F$7)*(TRANSAKSI_LOG!$E$2:$E$998&lt;=$B100)*(TRANSAKSI_LOG!$F$2:$F$998&gt;=$B100),0),0)),"")</f>
        <v/>
      </c>
      <c r="G100" s="66" t="str">
        <f t="array" ref="G100">IFERROR(INDEX(TRANSAKSI_LOG!$M$2:$M$998,MATCH(1,INDEX((TRANSAKSI_LOG!$C$2:$C$998=$C$5)*(TRANSAKSI_LOG!$J$2:$J$998=G$7)*(TRANSAKSI_LOG!$E$2:$E$998&lt;=$B100)*(TRANSAKSI_LOG!$F$2:$F$998&gt;=$B100),0),0)) &amp; " - " &amp; INDEX(TRANSAKSI_LOG!$H$2:$H$998,MATCH(1,INDEX((TRANSAKSI_LOG!$C$2:$C$998=$C$5)*(TRANSAKSI_LOG!$J$2:$J$998=G$7)*(TRANSAKSI_LOG!$E$2:$E$998&lt;=$B100)*(TRANSAKSI_LOG!$F$2:$F$998&gt;=$B100),0),0)),"")</f>
        <v/>
      </c>
      <c r="H100" s="66" t="str">
        <f t="array" ref="H100">IFERROR(INDEX(TRANSAKSI_LOG!$M$2:$M$998,MATCH(1,INDEX((TRANSAKSI_LOG!$C$2:$C$998=$C$5)*(TRANSAKSI_LOG!$J$2:$J$998=H$7)*(TRANSAKSI_LOG!$E$2:$E$998&lt;=$B100)*(TRANSAKSI_LOG!$F$2:$F$998&gt;=$B100),0),0)) &amp; " - " &amp; INDEX(TRANSAKSI_LOG!$H$2:$H$998,MATCH(1,INDEX((TRANSAKSI_LOG!$C$2:$C$998=$C$5)*(TRANSAKSI_LOG!$J$2:$J$998=H$7)*(TRANSAKSI_LOG!$E$2:$E$998&lt;=$B100)*(TRANSAKSI_LOG!$F$2:$F$998&gt;=$B100),0),0)),"")</f>
        <v/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13">
        <v>0.65625</v>
      </c>
      <c r="C101" s="66" t="str">
        <f t="array" ref="C101">IFERROR(INDEX(TRANSAKSI_LOG!$M$2:$M$998,MATCH(1,INDEX((TRANSAKSI_LOG!$C$2:$C$998=$C$5)*(TRANSAKSI_LOG!$J$2:$J$998=C$7)*(TRANSAKSI_LOG!$E$2:$E$998&lt;=$B101)*(TRANSAKSI_LOG!$F$2:$F$998&gt;=$B101),0),0)) &amp; " - " &amp; INDEX(TRANSAKSI_LOG!$H$2:$H$998,MATCH(1,INDEX((TRANSAKSI_LOG!$C$2:$C$998=$C$5)*(TRANSAKSI_LOG!$J$2:$J$998=C$7)*(TRANSAKSI_LOG!$E$2:$E$998&lt;=$B101)*(TRANSAKSI_LOG!$F$2:$F$998&gt;=$B101),0),0)),"")</f>
        <v/>
      </c>
      <c r="D101" s="66" t="str">
        <f t="array" ref="D101">IFERROR(INDEX(TRANSAKSI_LOG!$M$2:$M$998,MATCH(1,INDEX((TRANSAKSI_LOG!$C$2:$C$998=$C$5)*(TRANSAKSI_LOG!$J$2:$J$998=D$7)*(TRANSAKSI_LOG!$E$2:$E$998&lt;=$B101)*(TRANSAKSI_LOG!$F$2:$F$998&gt;=$B101),0),0)) &amp; " - " &amp; INDEX(TRANSAKSI_LOG!$H$2:$H$998,MATCH(1,INDEX((TRANSAKSI_LOG!$C$2:$C$998=$C$5)*(TRANSAKSI_LOG!$J$2:$J$998=D$7)*(TRANSAKSI_LOG!$E$2:$E$998&lt;=$B101)*(TRANSAKSI_LOG!$F$2:$F$998&gt;=$B101),0),0)),"")</f>
        <v/>
      </c>
      <c r="E101" s="66" t="str">
        <f t="array" ref="E101">IFERROR(INDEX(TRANSAKSI_LOG!$M$2:$M$998,MATCH(1,INDEX((TRANSAKSI_LOG!$C$2:$C$998=$C$5)*(TRANSAKSI_LOG!$J$2:$J$998=E$7)*(TRANSAKSI_LOG!$E$2:$E$998&lt;=$B101)*(TRANSAKSI_LOG!$F$2:$F$998&gt;=$B101),0),0)) &amp; " - " &amp; INDEX(TRANSAKSI_LOG!$H$2:$H$998,MATCH(1,INDEX((TRANSAKSI_LOG!$C$2:$C$998=$C$5)*(TRANSAKSI_LOG!$J$2:$J$998=E$7)*(TRANSAKSI_LOG!$E$2:$E$998&lt;=$B101)*(TRANSAKSI_LOG!$F$2:$F$998&gt;=$B101),0),0)),"")</f>
        <v/>
      </c>
      <c r="F101" s="66" t="str">
        <f t="array" ref="F101">IFERROR(INDEX(TRANSAKSI_LOG!$M$2:$M$998,MATCH(1,INDEX((TRANSAKSI_LOG!$C$2:$C$998=$C$5)*(TRANSAKSI_LOG!$J$2:$J$998=F$7)*(TRANSAKSI_LOG!$E$2:$E$998&lt;=$B101)*(TRANSAKSI_LOG!$F$2:$F$998&gt;=$B101),0),0)) &amp; " - " &amp; INDEX(TRANSAKSI_LOG!$H$2:$H$998,MATCH(1,INDEX((TRANSAKSI_LOG!$C$2:$C$998=$C$5)*(TRANSAKSI_LOG!$J$2:$J$998=F$7)*(TRANSAKSI_LOG!$E$2:$E$998&lt;=$B101)*(TRANSAKSI_LOG!$F$2:$F$998&gt;=$B101),0),0)),"")</f>
        <v/>
      </c>
      <c r="G101" s="66" t="str">
        <f t="array" ref="G101">IFERROR(INDEX(TRANSAKSI_LOG!$M$2:$M$998,MATCH(1,INDEX((TRANSAKSI_LOG!$C$2:$C$998=$C$5)*(TRANSAKSI_LOG!$J$2:$J$998=G$7)*(TRANSAKSI_LOG!$E$2:$E$998&lt;=$B101)*(TRANSAKSI_LOG!$F$2:$F$998&gt;=$B101),0),0)) &amp; " - " &amp; INDEX(TRANSAKSI_LOG!$H$2:$H$998,MATCH(1,INDEX((TRANSAKSI_LOG!$C$2:$C$998=$C$5)*(TRANSAKSI_LOG!$J$2:$J$998=G$7)*(TRANSAKSI_LOG!$E$2:$E$998&lt;=$B101)*(TRANSAKSI_LOG!$F$2:$F$998&gt;=$B101),0),0)),"")</f>
        <v/>
      </c>
      <c r="H101" s="66" t="str">
        <f t="array" ref="H101">IFERROR(INDEX(TRANSAKSI_LOG!$M$2:$M$998,MATCH(1,INDEX((TRANSAKSI_LOG!$C$2:$C$998=$C$5)*(TRANSAKSI_LOG!$J$2:$J$998=H$7)*(TRANSAKSI_LOG!$E$2:$E$998&lt;=$B101)*(TRANSAKSI_LOG!$F$2:$F$998&gt;=$B101),0),0)) &amp; " - " &amp; INDEX(TRANSAKSI_LOG!$H$2:$H$998,MATCH(1,INDEX((TRANSAKSI_LOG!$C$2:$C$998=$C$5)*(TRANSAKSI_LOG!$J$2:$J$998=H$7)*(TRANSAKSI_LOG!$E$2:$E$998&lt;=$B101)*(TRANSAKSI_LOG!$F$2:$F$998&gt;=$B101),0),0)),"")</f>
        <v/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13">
        <v>0.6597222222222222</v>
      </c>
      <c r="C102" s="66" t="str">
        <f t="array" ref="C102">IFERROR(INDEX(TRANSAKSI_LOG!$M$2:$M$998,MATCH(1,INDEX((TRANSAKSI_LOG!$C$2:$C$998=$C$5)*(TRANSAKSI_LOG!$J$2:$J$998=C$7)*(TRANSAKSI_LOG!$E$2:$E$998&lt;=$B102)*(TRANSAKSI_LOG!$F$2:$F$998&gt;=$B102),0),0)) &amp; " - " &amp; INDEX(TRANSAKSI_LOG!$H$2:$H$998,MATCH(1,INDEX((TRANSAKSI_LOG!$C$2:$C$998=$C$5)*(TRANSAKSI_LOG!$J$2:$J$998=C$7)*(TRANSAKSI_LOG!$E$2:$E$998&lt;=$B102)*(TRANSAKSI_LOG!$F$2:$F$998&gt;=$B102),0),0)),"")</f>
        <v/>
      </c>
      <c r="D102" s="66" t="str">
        <f t="array" ref="D102">IFERROR(INDEX(TRANSAKSI_LOG!$M$2:$M$998,MATCH(1,INDEX((TRANSAKSI_LOG!$C$2:$C$998=$C$5)*(TRANSAKSI_LOG!$J$2:$J$998=D$7)*(TRANSAKSI_LOG!$E$2:$E$998&lt;=$B102)*(TRANSAKSI_LOG!$F$2:$F$998&gt;=$B102),0),0)) &amp; " - " &amp; INDEX(TRANSAKSI_LOG!$H$2:$H$998,MATCH(1,INDEX((TRANSAKSI_LOG!$C$2:$C$998=$C$5)*(TRANSAKSI_LOG!$J$2:$J$998=D$7)*(TRANSAKSI_LOG!$E$2:$E$998&lt;=$B102)*(TRANSAKSI_LOG!$F$2:$F$998&gt;=$B102),0),0)),"")</f>
        <v/>
      </c>
      <c r="E102" s="66" t="str">
        <f t="array" ref="E102">IFERROR(INDEX(TRANSAKSI_LOG!$M$2:$M$998,MATCH(1,INDEX((TRANSAKSI_LOG!$C$2:$C$998=$C$5)*(TRANSAKSI_LOG!$J$2:$J$998=E$7)*(TRANSAKSI_LOG!$E$2:$E$998&lt;=$B102)*(TRANSAKSI_LOG!$F$2:$F$998&gt;=$B102),0),0)) &amp; " - " &amp; INDEX(TRANSAKSI_LOG!$H$2:$H$998,MATCH(1,INDEX((TRANSAKSI_LOG!$C$2:$C$998=$C$5)*(TRANSAKSI_LOG!$J$2:$J$998=E$7)*(TRANSAKSI_LOG!$E$2:$E$998&lt;=$B102)*(TRANSAKSI_LOG!$F$2:$F$998&gt;=$B102),0),0)),"")</f>
        <v/>
      </c>
      <c r="F102" s="66" t="str">
        <f t="array" ref="F102">IFERROR(INDEX(TRANSAKSI_LOG!$M$2:$M$998,MATCH(1,INDEX((TRANSAKSI_LOG!$C$2:$C$998=$C$5)*(TRANSAKSI_LOG!$J$2:$J$998=F$7)*(TRANSAKSI_LOG!$E$2:$E$998&lt;=$B102)*(TRANSAKSI_LOG!$F$2:$F$998&gt;=$B102),0),0)) &amp; " - " &amp; INDEX(TRANSAKSI_LOG!$H$2:$H$998,MATCH(1,INDEX((TRANSAKSI_LOG!$C$2:$C$998=$C$5)*(TRANSAKSI_LOG!$J$2:$J$998=F$7)*(TRANSAKSI_LOG!$E$2:$E$998&lt;=$B102)*(TRANSAKSI_LOG!$F$2:$F$998&gt;=$B102),0),0)),"")</f>
        <v/>
      </c>
      <c r="G102" s="66" t="str">
        <f t="array" ref="G102">IFERROR(INDEX(TRANSAKSI_LOG!$M$2:$M$998,MATCH(1,INDEX((TRANSAKSI_LOG!$C$2:$C$998=$C$5)*(TRANSAKSI_LOG!$J$2:$J$998=G$7)*(TRANSAKSI_LOG!$E$2:$E$998&lt;=$B102)*(TRANSAKSI_LOG!$F$2:$F$998&gt;=$B102),0),0)) &amp; " - " &amp; INDEX(TRANSAKSI_LOG!$H$2:$H$998,MATCH(1,INDEX((TRANSAKSI_LOG!$C$2:$C$998=$C$5)*(TRANSAKSI_LOG!$J$2:$J$998=G$7)*(TRANSAKSI_LOG!$E$2:$E$998&lt;=$B102)*(TRANSAKSI_LOG!$F$2:$F$998&gt;=$B102),0),0)),"")</f>
        <v/>
      </c>
      <c r="H102" s="66" t="str">
        <f t="array" ref="H102">IFERROR(INDEX(TRANSAKSI_LOG!$M$2:$M$998,MATCH(1,INDEX((TRANSAKSI_LOG!$C$2:$C$998=$C$5)*(TRANSAKSI_LOG!$J$2:$J$998=H$7)*(TRANSAKSI_LOG!$E$2:$E$998&lt;=$B102)*(TRANSAKSI_LOG!$F$2:$F$998&gt;=$B102),0),0)) &amp; " - " &amp; INDEX(TRANSAKSI_LOG!$H$2:$H$998,MATCH(1,INDEX((TRANSAKSI_LOG!$C$2:$C$998=$C$5)*(TRANSAKSI_LOG!$J$2:$J$998=H$7)*(TRANSAKSI_LOG!$E$2:$E$998&lt;=$B102)*(TRANSAKSI_LOG!$F$2:$F$998&gt;=$B102),0),0)),"")</f>
        <v/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13">
        <v>0.6631944444444444</v>
      </c>
      <c r="C103" s="66" t="str">
        <f t="array" ref="C103">IFERROR(INDEX(TRANSAKSI_LOG!$M$2:$M$998,MATCH(1,INDEX((TRANSAKSI_LOG!$C$2:$C$998=$C$5)*(TRANSAKSI_LOG!$J$2:$J$998=C$7)*(TRANSAKSI_LOG!$E$2:$E$998&lt;=$B103)*(TRANSAKSI_LOG!$F$2:$F$998&gt;=$B103),0),0)) &amp; " - " &amp; INDEX(TRANSAKSI_LOG!$H$2:$H$998,MATCH(1,INDEX((TRANSAKSI_LOG!$C$2:$C$998=$C$5)*(TRANSAKSI_LOG!$J$2:$J$998=C$7)*(TRANSAKSI_LOG!$E$2:$E$998&lt;=$B103)*(TRANSAKSI_LOG!$F$2:$F$998&gt;=$B103),0),0)),"")</f>
        <v/>
      </c>
      <c r="D103" s="66" t="str">
        <f t="array" ref="D103">IFERROR(INDEX(TRANSAKSI_LOG!$M$2:$M$998,MATCH(1,INDEX((TRANSAKSI_LOG!$C$2:$C$998=$C$5)*(TRANSAKSI_LOG!$J$2:$J$998=D$7)*(TRANSAKSI_LOG!$E$2:$E$998&lt;=$B103)*(TRANSAKSI_LOG!$F$2:$F$998&gt;=$B103),0),0)) &amp; " - " &amp; INDEX(TRANSAKSI_LOG!$H$2:$H$998,MATCH(1,INDEX((TRANSAKSI_LOG!$C$2:$C$998=$C$5)*(TRANSAKSI_LOG!$J$2:$J$998=D$7)*(TRANSAKSI_LOG!$E$2:$E$998&lt;=$B103)*(TRANSAKSI_LOG!$F$2:$F$998&gt;=$B103),0),0)),"")</f>
        <v/>
      </c>
      <c r="E103" s="66" t="str">
        <f t="array" ref="E103">IFERROR(INDEX(TRANSAKSI_LOG!$M$2:$M$998,MATCH(1,INDEX((TRANSAKSI_LOG!$C$2:$C$998=$C$5)*(TRANSAKSI_LOG!$J$2:$J$998=E$7)*(TRANSAKSI_LOG!$E$2:$E$998&lt;=$B103)*(TRANSAKSI_LOG!$F$2:$F$998&gt;=$B103),0),0)) &amp; " - " &amp; INDEX(TRANSAKSI_LOG!$H$2:$H$998,MATCH(1,INDEX((TRANSAKSI_LOG!$C$2:$C$998=$C$5)*(TRANSAKSI_LOG!$J$2:$J$998=E$7)*(TRANSAKSI_LOG!$E$2:$E$998&lt;=$B103)*(TRANSAKSI_LOG!$F$2:$F$998&gt;=$B103),0),0)),"")</f>
        <v/>
      </c>
      <c r="F103" s="66" t="str">
        <f t="array" ref="F103">IFERROR(INDEX(TRANSAKSI_LOG!$M$2:$M$998,MATCH(1,INDEX((TRANSAKSI_LOG!$C$2:$C$998=$C$5)*(TRANSAKSI_LOG!$J$2:$J$998=F$7)*(TRANSAKSI_LOG!$E$2:$E$998&lt;=$B103)*(TRANSAKSI_LOG!$F$2:$F$998&gt;=$B103),0),0)) &amp; " - " &amp; INDEX(TRANSAKSI_LOG!$H$2:$H$998,MATCH(1,INDEX((TRANSAKSI_LOG!$C$2:$C$998=$C$5)*(TRANSAKSI_LOG!$J$2:$J$998=F$7)*(TRANSAKSI_LOG!$E$2:$E$998&lt;=$B103)*(TRANSAKSI_LOG!$F$2:$F$998&gt;=$B103),0),0)),"")</f>
        <v/>
      </c>
      <c r="G103" s="66" t="str">
        <f t="array" ref="G103">IFERROR(INDEX(TRANSAKSI_LOG!$M$2:$M$998,MATCH(1,INDEX((TRANSAKSI_LOG!$C$2:$C$998=$C$5)*(TRANSAKSI_LOG!$J$2:$J$998=G$7)*(TRANSAKSI_LOG!$E$2:$E$998&lt;=$B103)*(TRANSAKSI_LOG!$F$2:$F$998&gt;=$B103),0),0)) &amp; " - " &amp; INDEX(TRANSAKSI_LOG!$H$2:$H$998,MATCH(1,INDEX((TRANSAKSI_LOG!$C$2:$C$998=$C$5)*(TRANSAKSI_LOG!$J$2:$J$998=G$7)*(TRANSAKSI_LOG!$E$2:$E$998&lt;=$B103)*(TRANSAKSI_LOG!$F$2:$F$998&gt;=$B103),0),0)),"")</f>
        <v/>
      </c>
      <c r="H103" s="66" t="str">
        <f t="array" ref="H103">IFERROR(INDEX(TRANSAKSI_LOG!$M$2:$M$998,MATCH(1,INDEX((TRANSAKSI_LOG!$C$2:$C$998=$C$5)*(TRANSAKSI_LOG!$J$2:$J$998=H$7)*(TRANSAKSI_LOG!$E$2:$E$998&lt;=$B103)*(TRANSAKSI_LOG!$F$2:$F$998&gt;=$B103),0),0)) &amp; " - " &amp; INDEX(TRANSAKSI_LOG!$H$2:$H$998,MATCH(1,INDEX((TRANSAKSI_LOG!$C$2:$C$998=$C$5)*(TRANSAKSI_LOG!$J$2:$J$998=H$7)*(TRANSAKSI_LOG!$E$2:$E$998&lt;=$B103)*(TRANSAKSI_LOG!$F$2:$F$998&gt;=$B103),0),0)),"")</f>
        <v/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13">
        <v>0.6666666666666666</v>
      </c>
      <c r="C104" s="66" t="str">
        <f t="array" ref="C104">IFERROR(INDEX(TRANSAKSI_LOG!$M$2:$M$998,MATCH(1,INDEX((TRANSAKSI_LOG!$C$2:$C$998=$C$5)*(TRANSAKSI_LOG!$J$2:$J$998=C$7)*(TRANSAKSI_LOG!$E$2:$E$998&lt;=$B104)*(TRANSAKSI_LOG!$F$2:$F$998&gt;=$B104),0),0)) &amp; " - " &amp; INDEX(TRANSAKSI_LOG!$H$2:$H$998,MATCH(1,INDEX((TRANSAKSI_LOG!$C$2:$C$998=$C$5)*(TRANSAKSI_LOG!$J$2:$J$998=C$7)*(TRANSAKSI_LOG!$E$2:$E$998&lt;=$B104)*(TRANSAKSI_LOG!$F$2:$F$998&gt;=$B104),0),0)),"")</f>
        <v/>
      </c>
      <c r="D104" s="66" t="str">
        <f t="array" ref="D104">IFERROR(INDEX(TRANSAKSI_LOG!$M$2:$M$998,MATCH(1,INDEX((TRANSAKSI_LOG!$C$2:$C$998=$C$5)*(TRANSAKSI_LOG!$J$2:$J$998=D$7)*(TRANSAKSI_LOG!$E$2:$E$998&lt;=$B104)*(TRANSAKSI_LOG!$F$2:$F$998&gt;=$B104),0),0)) &amp; " - " &amp; INDEX(TRANSAKSI_LOG!$H$2:$H$998,MATCH(1,INDEX((TRANSAKSI_LOG!$C$2:$C$998=$C$5)*(TRANSAKSI_LOG!$J$2:$J$998=D$7)*(TRANSAKSI_LOG!$E$2:$E$998&lt;=$B104)*(TRANSAKSI_LOG!$F$2:$F$998&gt;=$B104),0),0)),"")</f>
        <v/>
      </c>
      <c r="E104" s="66" t="str">
        <f t="array" ref="E104">IFERROR(INDEX(TRANSAKSI_LOG!$M$2:$M$998,MATCH(1,INDEX((TRANSAKSI_LOG!$C$2:$C$998=$C$5)*(TRANSAKSI_LOG!$J$2:$J$998=E$7)*(TRANSAKSI_LOG!$E$2:$E$998&lt;=$B104)*(TRANSAKSI_LOG!$F$2:$F$998&gt;=$B104),0),0)) &amp; " - " &amp; INDEX(TRANSAKSI_LOG!$H$2:$H$998,MATCH(1,INDEX((TRANSAKSI_LOG!$C$2:$C$998=$C$5)*(TRANSAKSI_LOG!$J$2:$J$998=E$7)*(TRANSAKSI_LOG!$E$2:$E$998&lt;=$B104)*(TRANSAKSI_LOG!$F$2:$F$998&gt;=$B104),0),0)),"")</f>
        <v/>
      </c>
      <c r="F104" s="66" t="str">
        <f t="array" ref="F104">IFERROR(INDEX(TRANSAKSI_LOG!$M$2:$M$998,MATCH(1,INDEX((TRANSAKSI_LOG!$C$2:$C$998=$C$5)*(TRANSAKSI_LOG!$J$2:$J$998=F$7)*(TRANSAKSI_LOG!$E$2:$E$998&lt;=$B104)*(TRANSAKSI_LOG!$F$2:$F$998&gt;=$B104),0),0)) &amp; " - " &amp; INDEX(TRANSAKSI_LOG!$H$2:$H$998,MATCH(1,INDEX((TRANSAKSI_LOG!$C$2:$C$998=$C$5)*(TRANSAKSI_LOG!$J$2:$J$998=F$7)*(TRANSAKSI_LOG!$E$2:$E$998&lt;=$B104)*(TRANSAKSI_LOG!$F$2:$F$998&gt;=$B104),0),0)),"")</f>
        <v/>
      </c>
      <c r="G104" s="66" t="str">
        <f t="array" ref="G104">IFERROR(INDEX(TRANSAKSI_LOG!$M$2:$M$998,MATCH(1,INDEX((TRANSAKSI_LOG!$C$2:$C$998=$C$5)*(TRANSAKSI_LOG!$J$2:$J$998=G$7)*(TRANSAKSI_LOG!$E$2:$E$998&lt;=$B104)*(TRANSAKSI_LOG!$F$2:$F$998&gt;=$B104),0),0)) &amp; " - " &amp; INDEX(TRANSAKSI_LOG!$H$2:$H$998,MATCH(1,INDEX((TRANSAKSI_LOG!$C$2:$C$998=$C$5)*(TRANSAKSI_LOG!$J$2:$J$998=G$7)*(TRANSAKSI_LOG!$E$2:$E$998&lt;=$B104)*(TRANSAKSI_LOG!$F$2:$F$998&gt;=$B104),0),0)),"")</f>
        <v/>
      </c>
      <c r="H104" s="66" t="str">
        <f t="array" ref="H104">IFERROR(INDEX(TRANSAKSI_LOG!$M$2:$M$998,MATCH(1,INDEX((TRANSAKSI_LOG!$C$2:$C$998=$C$5)*(TRANSAKSI_LOG!$J$2:$J$998=H$7)*(TRANSAKSI_LOG!$E$2:$E$998&lt;=$B104)*(TRANSAKSI_LOG!$F$2:$F$998&gt;=$B104),0),0)) &amp; " - " &amp; INDEX(TRANSAKSI_LOG!$H$2:$H$998,MATCH(1,INDEX((TRANSAKSI_LOG!$C$2:$C$998=$C$5)*(TRANSAKSI_LOG!$J$2:$J$998=H$7)*(TRANSAKSI_LOG!$E$2:$E$998&lt;=$B104)*(TRANSAKSI_LOG!$F$2:$F$998&gt;=$B104),0),0)),"")</f>
        <v/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13">
        <v>0.6701388888888888</v>
      </c>
      <c r="C105" s="66" t="str">
        <f t="array" ref="C105">IFERROR(INDEX(TRANSAKSI_LOG!$M$2:$M$998,MATCH(1,INDEX((TRANSAKSI_LOG!$C$2:$C$998=$C$5)*(TRANSAKSI_LOG!$J$2:$J$998=C$7)*(TRANSAKSI_LOG!$E$2:$E$998&lt;=$B105)*(TRANSAKSI_LOG!$F$2:$F$998&gt;=$B105),0),0)) &amp; " - " &amp; INDEX(TRANSAKSI_LOG!$H$2:$H$998,MATCH(1,INDEX((TRANSAKSI_LOG!$C$2:$C$998=$C$5)*(TRANSAKSI_LOG!$J$2:$J$998=C$7)*(TRANSAKSI_LOG!$E$2:$E$998&lt;=$B105)*(TRANSAKSI_LOG!$F$2:$F$998&gt;=$B105),0),0)),"")</f>
        <v/>
      </c>
      <c r="D105" s="66" t="str">
        <f t="array" ref="D105">IFERROR(INDEX(TRANSAKSI_LOG!$M$2:$M$998,MATCH(1,INDEX((TRANSAKSI_LOG!$C$2:$C$998=$C$5)*(TRANSAKSI_LOG!$J$2:$J$998=D$7)*(TRANSAKSI_LOG!$E$2:$E$998&lt;=$B105)*(TRANSAKSI_LOG!$F$2:$F$998&gt;=$B105),0),0)) &amp; " - " &amp; INDEX(TRANSAKSI_LOG!$H$2:$H$998,MATCH(1,INDEX((TRANSAKSI_LOG!$C$2:$C$998=$C$5)*(TRANSAKSI_LOG!$J$2:$J$998=D$7)*(TRANSAKSI_LOG!$E$2:$E$998&lt;=$B105)*(TRANSAKSI_LOG!$F$2:$F$998&gt;=$B105),0),0)),"")</f>
        <v/>
      </c>
      <c r="E105" s="66" t="str">
        <f t="array" ref="E105">IFERROR(INDEX(TRANSAKSI_LOG!$M$2:$M$998,MATCH(1,INDEX((TRANSAKSI_LOG!$C$2:$C$998=$C$5)*(TRANSAKSI_LOG!$J$2:$J$998=E$7)*(TRANSAKSI_LOG!$E$2:$E$998&lt;=$B105)*(TRANSAKSI_LOG!$F$2:$F$998&gt;=$B105),0),0)) &amp; " - " &amp; INDEX(TRANSAKSI_LOG!$H$2:$H$998,MATCH(1,INDEX((TRANSAKSI_LOG!$C$2:$C$998=$C$5)*(TRANSAKSI_LOG!$J$2:$J$998=E$7)*(TRANSAKSI_LOG!$E$2:$E$998&lt;=$B105)*(TRANSAKSI_LOG!$F$2:$F$998&gt;=$B105),0),0)),"")</f>
        <v/>
      </c>
      <c r="F105" s="66" t="str">
        <f t="array" ref="F105">IFERROR(INDEX(TRANSAKSI_LOG!$M$2:$M$998,MATCH(1,INDEX((TRANSAKSI_LOG!$C$2:$C$998=$C$5)*(TRANSAKSI_LOG!$J$2:$J$998=F$7)*(TRANSAKSI_LOG!$E$2:$E$998&lt;=$B105)*(TRANSAKSI_LOG!$F$2:$F$998&gt;=$B105),0),0)) &amp; " - " &amp; INDEX(TRANSAKSI_LOG!$H$2:$H$998,MATCH(1,INDEX((TRANSAKSI_LOG!$C$2:$C$998=$C$5)*(TRANSAKSI_LOG!$J$2:$J$998=F$7)*(TRANSAKSI_LOG!$E$2:$E$998&lt;=$B105)*(TRANSAKSI_LOG!$F$2:$F$998&gt;=$B105),0),0)),"")</f>
        <v/>
      </c>
      <c r="G105" s="66" t="str">
        <f t="array" ref="G105">IFERROR(INDEX(TRANSAKSI_LOG!$M$2:$M$998,MATCH(1,INDEX((TRANSAKSI_LOG!$C$2:$C$998=$C$5)*(TRANSAKSI_LOG!$J$2:$J$998=G$7)*(TRANSAKSI_LOG!$E$2:$E$998&lt;=$B105)*(TRANSAKSI_LOG!$F$2:$F$998&gt;=$B105),0),0)) &amp; " - " &amp; INDEX(TRANSAKSI_LOG!$H$2:$H$998,MATCH(1,INDEX((TRANSAKSI_LOG!$C$2:$C$998=$C$5)*(TRANSAKSI_LOG!$J$2:$J$998=G$7)*(TRANSAKSI_LOG!$E$2:$E$998&lt;=$B105)*(TRANSAKSI_LOG!$F$2:$F$998&gt;=$B105),0),0)),"")</f>
        <v/>
      </c>
      <c r="H105" s="66" t="str">
        <f t="array" ref="H105">IFERROR(INDEX(TRANSAKSI_LOG!$M$2:$M$998,MATCH(1,INDEX((TRANSAKSI_LOG!$C$2:$C$998=$C$5)*(TRANSAKSI_LOG!$J$2:$J$998=H$7)*(TRANSAKSI_LOG!$E$2:$E$998&lt;=$B105)*(TRANSAKSI_LOG!$F$2:$F$998&gt;=$B105),0),0)) &amp; " - " &amp; INDEX(TRANSAKSI_LOG!$H$2:$H$998,MATCH(1,INDEX((TRANSAKSI_LOG!$C$2:$C$998=$C$5)*(TRANSAKSI_LOG!$J$2:$J$998=H$7)*(TRANSAKSI_LOG!$E$2:$E$998&lt;=$B105)*(TRANSAKSI_LOG!$F$2:$F$998&gt;=$B105),0),0)),"")</f>
        <v/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13">
        <v>0.6736111111111112</v>
      </c>
      <c r="C106" s="66" t="str">
        <f t="array" ref="C106">IFERROR(INDEX(TRANSAKSI_LOG!$M$2:$M$998,MATCH(1,INDEX((TRANSAKSI_LOG!$C$2:$C$998=$C$5)*(TRANSAKSI_LOG!$J$2:$J$998=C$7)*(TRANSAKSI_LOG!$E$2:$E$998&lt;=$B106)*(TRANSAKSI_LOG!$F$2:$F$998&gt;=$B106),0),0)) &amp; " - " &amp; INDEX(TRANSAKSI_LOG!$H$2:$H$998,MATCH(1,INDEX((TRANSAKSI_LOG!$C$2:$C$998=$C$5)*(TRANSAKSI_LOG!$J$2:$J$998=C$7)*(TRANSAKSI_LOG!$E$2:$E$998&lt;=$B106)*(TRANSAKSI_LOG!$F$2:$F$998&gt;=$B106),0),0)),"")</f>
        <v/>
      </c>
      <c r="D106" s="66" t="str">
        <f t="array" ref="D106">IFERROR(INDEX(TRANSAKSI_LOG!$M$2:$M$998,MATCH(1,INDEX((TRANSAKSI_LOG!$C$2:$C$998=$C$5)*(TRANSAKSI_LOG!$J$2:$J$998=D$7)*(TRANSAKSI_LOG!$E$2:$E$998&lt;=$B106)*(TRANSAKSI_LOG!$F$2:$F$998&gt;=$B106),0),0)) &amp; " - " &amp; INDEX(TRANSAKSI_LOG!$H$2:$H$998,MATCH(1,INDEX((TRANSAKSI_LOG!$C$2:$C$998=$C$5)*(TRANSAKSI_LOG!$J$2:$J$998=D$7)*(TRANSAKSI_LOG!$E$2:$E$998&lt;=$B106)*(TRANSAKSI_LOG!$F$2:$F$998&gt;=$B106),0),0)),"")</f>
        <v/>
      </c>
      <c r="E106" s="66" t="str">
        <f t="array" ref="E106">IFERROR(INDEX(TRANSAKSI_LOG!$M$2:$M$998,MATCH(1,INDEX((TRANSAKSI_LOG!$C$2:$C$998=$C$5)*(TRANSAKSI_LOG!$J$2:$J$998=E$7)*(TRANSAKSI_LOG!$E$2:$E$998&lt;=$B106)*(TRANSAKSI_LOG!$F$2:$F$998&gt;=$B106),0),0)) &amp; " - " &amp; INDEX(TRANSAKSI_LOG!$H$2:$H$998,MATCH(1,INDEX((TRANSAKSI_LOG!$C$2:$C$998=$C$5)*(TRANSAKSI_LOG!$J$2:$J$998=E$7)*(TRANSAKSI_LOG!$E$2:$E$998&lt;=$B106)*(TRANSAKSI_LOG!$F$2:$F$998&gt;=$B106),0),0)),"")</f>
        <v/>
      </c>
      <c r="F106" s="66" t="str">
        <f t="array" ref="F106">IFERROR(INDEX(TRANSAKSI_LOG!$M$2:$M$998,MATCH(1,INDEX((TRANSAKSI_LOG!$C$2:$C$998=$C$5)*(TRANSAKSI_LOG!$J$2:$J$998=F$7)*(TRANSAKSI_LOG!$E$2:$E$998&lt;=$B106)*(TRANSAKSI_LOG!$F$2:$F$998&gt;=$B106),0),0)) &amp; " - " &amp; INDEX(TRANSAKSI_LOG!$H$2:$H$998,MATCH(1,INDEX((TRANSAKSI_LOG!$C$2:$C$998=$C$5)*(TRANSAKSI_LOG!$J$2:$J$998=F$7)*(TRANSAKSI_LOG!$E$2:$E$998&lt;=$B106)*(TRANSAKSI_LOG!$F$2:$F$998&gt;=$B106),0),0)),"")</f>
        <v/>
      </c>
      <c r="G106" s="66" t="str">
        <f t="array" ref="G106">IFERROR(INDEX(TRANSAKSI_LOG!$M$2:$M$998,MATCH(1,INDEX((TRANSAKSI_LOG!$C$2:$C$998=$C$5)*(TRANSAKSI_LOG!$J$2:$J$998=G$7)*(TRANSAKSI_LOG!$E$2:$E$998&lt;=$B106)*(TRANSAKSI_LOG!$F$2:$F$998&gt;=$B106),0),0)) &amp; " - " &amp; INDEX(TRANSAKSI_LOG!$H$2:$H$998,MATCH(1,INDEX((TRANSAKSI_LOG!$C$2:$C$998=$C$5)*(TRANSAKSI_LOG!$J$2:$J$998=G$7)*(TRANSAKSI_LOG!$E$2:$E$998&lt;=$B106)*(TRANSAKSI_LOG!$F$2:$F$998&gt;=$B106),0),0)),"")</f>
        <v/>
      </c>
      <c r="H106" s="66" t="str">
        <f t="array" ref="H106">IFERROR(INDEX(TRANSAKSI_LOG!$M$2:$M$998,MATCH(1,INDEX((TRANSAKSI_LOG!$C$2:$C$998=$C$5)*(TRANSAKSI_LOG!$J$2:$J$998=H$7)*(TRANSAKSI_LOG!$E$2:$E$998&lt;=$B106)*(TRANSAKSI_LOG!$F$2:$F$998&gt;=$B106),0),0)) &amp; " - " &amp; INDEX(TRANSAKSI_LOG!$H$2:$H$998,MATCH(1,INDEX((TRANSAKSI_LOG!$C$2:$C$998=$C$5)*(TRANSAKSI_LOG!$J$2:$J$998=H$7)*(TRANSAKSI_LOG!$E$2:$E$998&lt;=$B106)*(TRANSAKSI_LOG!$F$2:$F$998&gt;=$B106),0),0)),"")</f>
        <v/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13">
        <v>0.6770833333333334</v>
      </c>
      <c r="C107" s="66" t="str">
        <f t="array" ref="C107">IFERROR(INDEX(TRANSAKSI_LOG!$M$2:$M$998,MATCH(1,INDEX((TRANSAKSI_LOG!$C$2:$C$998=$C$5)*(TRANSAKSI_LOG!$J$2:$J$998=C$7)*(TRANSAKSI_LOG!$E$2:$E$998&lt;=$B107)*(TRANSAKSI_LOG!$F$2:$F$998&gt;=$B107),0),0)) &amp; " - " &amp; INDEX(TRANSAKSI_LOG!$H$2:$H$998,MATCH(1,INDEX((TRANSAKSI_LOG!$C$2:$C$998=$C$5)*(TRANSAKSI_LOG!$J$2:$J$998=C$7)*(TRANSAKSI_LOG!$E$2:$E$998&lt;=$B107)*(TRANSAKSI_LOG!$F$2:$F$998&gt;=$B107),0),0)),"")</f>
        <v/>
      </c>
      <c r="D107" s="66" t="str">
        <f t="array" ref="D107">IFERROR(INDEX(TRANSAKSI_LOG!$M$2:$M$998,MATCH(1,INDEX((TRANSAKSI_LOG!$C$2:$C$998=$C$5)*(TRANSAKSI_LOG!$J$2:$J$998=D$7)*(TRANSAKSI_LOG!$E$2:$E$998&lt;=$B107)*(TRANSAKSI_LOG!$F$2:$F$998&gt;=$B107),0),0)) &amp; " - " &amp; INDEX(TRANSAKSI_LOG!$H$2:$H$998,MATCH(1,INDEX((TRANSAKSI_LOG!$C$2:$C$998=$C$5)*(TRANSAKSI_LOG!$J$2:$J$998=D$7)*(TRANSAKSI_LOG!$E$2:$E$998&lt;=$B107)*(TRANSAKSI_LOG!$F$2:$F$998&gt;=$B107),0),0)),"")</f>
        <v/>
      </c>
      <c r="E107" s="66" t="str">
        <f t="array" ref="E107">IFERROR(INDEX(TRANSAKSI_LOG!$M$2:$M$998,MATCH(1,INDEX((TRANSAKSI_LOG!$C$2:$C$998=$C$5)*(TRANSAKSI_LOG!$J$2:$J$998=E$7)*(TRANSAKSI_LOG!$E$2:$E$998&lt;=$B107)*(TRANSAKSI_LOG!$F$2:$F$998&gt;=$B107),0),0)) &amp; " - " &amp; INDEX(TRANSAKSI_LOG!$H$2:$H$998,MATCH(1,INDEX((TRANSAKSI_LOG!$C$2:$C$998=$C$5)*(TRANSAKSI_LOG!$J$2:$J$998=E$7)*(TRANSAKSI_LOG!$E$2:$E$998&lt;=$B107)*(TRANSAKSI_LOG!$F$2:$F$998&gt;=$B107),0),0)),"")</f>
        <v/>
      </c>
      <c r="F107" s="66" t="str">
        <f t="array" ref="F107">IFERROR(INDEX(TRANSAKSI_LOG!$M$2:$M$998,MATCH(1,INDEX((TRANSAKSI_LOG!$C$2:$C$998=$C$5)*(TRANSAKSI_LOG!$J$2:$J$998=F$7)*(TRANSAKSI_LOG!$E$2:$E$998&lt;=$B107)*(TRANSAKSI_LOG!$F$2:$F$998&gt;=$B107),0),0)) &amp; " - " &amp; INDEX(TRANSAKSI_LOG!$H$2:$H$998,MATCH(1,INDEX((TRANSAKSI_LOG!$C$2:$C$998=$C$5)*(TRANSAKSI_LOG!$J$2:$J$998=F$7)*(TRANSAKSI_LOG!$E$2:$E$998&lt;=$B107)*(TRANSAKSI_LOG!$F$2:$F$998&gt;=$B107),0),0)),"")</f>
        <v/>
      </c>
      <c r="G107" s="66" t="str">
        <f t="array" ref="G107">IFERROR(INDEX(TRANSAKSI_LOG!$M$2:$M$998,MATCH(1,INDEX((TRANSAKSI_LOG!$C$2:$C$998=$C$5)*(TRANSAKSI_LOG!$J$2:$J$998=G$7)*(TRANSAKSI_LOG!$E$2:$E$998&lt;=$B107)*(TRANSAKSI_LOG!$F$2:$F$998&gt;=$B107),0),0)) &amp; " - " &amp; INDEX(TRANSAKSI_LOG!$H$2:$H$998,MATCH(1,INDEX((TRANSAKSI_LOG!$C$2:$C$998=$C$5)*(TRANSAKSI_LOG!$J$2:$J$998=G$7)*(TRANSAKSI_LOG!$E$2:$E$998&lt;=$B107)*(TRANSAKSI_LOG!$F$2:$F$998&gt;=$B107),0),0)),"")</f>
        <v/>
      </c>
      <c r="H107" s="66" t="str">
        <f t="array" ref="H107">IFERROR(INDEX(TRANSAKSI_LOG!$M$2:$M$998,MATCH(1,INDEX((TRANSAKSI_LOG!$C$2:$C$998=$C$5)*(TRANSAKSI_LOG!$J$2:$J$998=H$7)*(TRANSAKSI_LOG!$E$2:$E$998&lt;=$B107)*(TRANSAKSI_LOG!$F$2:$F$998&gt;=$B107),0),0)) &amp; " - " &amp; INDEX(TRANSAKSI_LOG!$H$2:$H$998,MATCH(1,INDEX((TRANSAKSI_LOG!$C$2:$C$998=$C$5)*(TRANSAKSI_LOG!$J$2:$J$998=H$7)*(TRANSAKSI_LOG!$E$2:$E$998&lt;=$B107)*(TRANSAKSI_LOG!$F$2:$F$998&gt;=$B107),0),0)),"")</f>
        <v/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13">
        <v>0.6805555555555556</v>
      </c>
      <c r="C108" s="66" t="str">
        <f t="array" ref="C108">IFERROR(INDEX(TRANSAKSI_LOG!$M$2:$M$998,MATCH(1,INDEX((TRANSAKSI_LOG!$C$2:$C$998=$C$5)*(TRANSAKSI_LOG!$J$2:$J$998=C$7)*(TRANSAKSI_LOG!$E$2:$E$998&lt;=$B108)*(TRANSAKSI_LOG!$F$2:$F$998&gt;=$B108),0),0)) &amp; " - " &amp; INDEX(TRANSAKSI_LOG!$H$2:$H$998,MATCH(1,INDEX((TRANSAKSI_LOG!$C$2:$C$998=$C$5)*(TRANSAKSI_LOG!$J$2:$J$998=C$7)*(TRANSAKSI_LOG!$E$2:$E$998&lt;=$B108)*(TRANSAKSI_LOG!$F$2:$F$998&gt;=$B108),0),0)),"")</f>
        <v/>
      </c>
      <c r="D108" s="66" t="str">
        <f t="array" ref="D108">IFERROR(INDEX(TRANSAKSI_LOG!$M$2:$M$998,MATCH(1,INDEX((TRANSAKSI_LOG!$C$2:$C$998=$C$5)*(TRANSAKSI_LOG!$J$2:$J$998=D$7)*(TRANSAKSI_LOG!$E$2:$E$998&lt;=$B108)*(TRANSAKSI_LOG!$F$2:$F$998&gt;=$B108),0),0)) &amp; " - " &amp; INDEX(TRANSAKSI_LOG!$H$2:$H$998,MATCH(1,INDEX((TRANSAKSI_LOG!$C$2:$C$998=$C$5)*(TRANSAKSI_LOG!$J$2:$J$998=D$7)*(TRANSAKSI_LOG!$E$2:$E$998&lt;=$B108)*(TRANSAKSI_LOG!$F$2:$F$998&gt;=$B108),0),0)),"")</f>
        <v/>
      </c>
      <c r="E108" s="66" t="str">
        <f t="array" ref="E108">IFERROR(INDEX(TRANSAKSI_LOG!$M$2:$M$998,MATCH(1,INDEX((TRANSAKSI_LOG!$C$2:$C$998=$C$5)*(TRANSAKSI_LOG!$J$2:$J$998=E$7)*(TRANSAKSI_LOG!$E$2:$E$998&lt;=$B108)*(TRANSAKSI_LOG!$F$2:$F$998&gt;=$B108),0),0)) &amp; " - " &amp; INDEX(TRANSAKSI_LOG!$H$2:$H$998,MATCH(1,INDEX((TRANSAKSI_LOG!$C$2:$C$998=$C$5)*(TRANSAKSI_LOG!$J$2:$J$998=E$7)*(TRANSAKSI_LOG!$E$2:$E$998&lt;=$B108)*(TRANSAKSI_LOG!$F$2:$F$998&gt;=$B108),0),0)),"")</f>
        <v/>
      </c>
      <c r="F108" s="66" t="str">
        <f t="array" ref="F108">IFERROR(INDEX(TRANSAKSI_LOG!$M$2:$M$998,MATCH(1,INDEX((TRANSAKSI_LOG!$C$2:$C$998=$C$5)*(TRANSAKSI_LOG!$J$2:$J$998=F$7)*(TRANSAKSI_LOG!$E$2:$E$998&lt;=$B108)*(TRANSAKSI_LOG!$F$2:$F$998&gt;=$B108),0),0)) &amp; " - " &amp; INDEX(TRANSAKSI_LOG!$H$2:$H$998,MATCH(1,INDEX((TRANSAKSI_LOG!$C$2:$C$998=$C$5)*(TRANSAKSI_LOG!$J$2:$J$998=F$7)*(TRANSAKSI_LOG!$E$2:$E$998&lt;=$B108)*(TRANSAKSI_LOG!$F$2:$F$998&gt;=$B108),0),0)),"")</f>
        <v/>
      </c>
      <c r="G108" s="66" t="str">
        <f t="array" ref="G108">IFERROR(INDEX(TRANSAKSI_LOG!$M$2:$M$998,MATCH(1,INDEX((TRANSAKSI_LOG!$C$2:$C$998=$C$5)*(TRANSAKSI_LOG!$J$2:$J$998=G$7)*(TRANSAKSI_LOG!$E$2:$E$998&lt;=$B108)*(TRANSAKSI_LOG!$F$2:$F$998&gt;=$B108),0),0)) &amp; " - " &amp; INDEX(TRANSAKSI_LOG!$H$2:$H$998,MATCH(1,INDEX((TRANSAKSI_LOG!$C$2:$C$998=$C$5)*(TRANSAKSI_LOG!$J$2:$J$998=G$7)*(TRANSAKSI_LOG!$E$2:$E$998&lt;=$B108)*(TRANSAKSI_LOG!$F$2:$F$998&gt;=$B108),0),0)),"")</f>
        <v/>
      </c>
      <c r="H108" s="66" t="str">
        <f t="array" ref="H108">IFERROR(INDEX(TRANSAKSI_LOG!$M$2:$M$998,MATCH(1,INDEX((TRANSAKSI_LOG!$C$2:$C$998=$C$5)*(TRANSAKSI_LOG!$J$2:$J$998=H$7)*(TRANSAKSI_LOG!$E$2:$E$998&lt;=$B108)*(TRANSAKSI_LOG!$F$2:$F$998&gt;=$B108),0),0)) &amp; " - " &amp; INDEX(TRANSAKSI_LOG!$H$2:$H$998,MATCH(1,INDEX((TRANSAKSI_LOG!$C$2:$C$998=$C$5)*(TRANSAKSI_LOG!$J$2:$J$998=H$7)*(TRANSAKSI_LOG!$E$2:$E$998&lt;=$B108)*(TRANSAKSI_LOG!$F$2:$F$998&gt;=$B108),0),0)),"")</f>
        <v/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13">
        <v>0.6840277777777778</v>
      </c>
      <c r="C109" s="66" t="str">
        <f t="array" ref="C109">IFERROR(INDEX(TRANSAKSI_LOG!$M$2:$M$998,MATCH(1,INDEX((TRANSAKSI_LOG!$C$2:$C$998=$C$5)*(TRANSAKSI_LOG!$J$2:$J$998=C$7)*(TRANSAKSI_LOG!$E$2:$E$998&lt;=$B109)*(TRANSAKSI_LOG!$F$2:$F$998&gt;=$B109),0),0)) &amp; " - " &amp; INDEX(TRANSAKSI_LOG!$H$2:$H$998,MATCH(1,INDEX((TRANSAKSI_LOG!$C$2:$C$998=$C$5)*(TRANSAKSI_LOG!$J$2:$J$998=C$7)*(TRANSAKSI_LOG!$E$2:$E$998&lt;=$B109)*(TRANSAKSI_LOG!$F$2:$F$998&gt;=$B109),0),0)),"")</f>
        <v/>
      </c>
      <c r="D109" s="66" t="str">
        <f t="array" ref="D109">IFERROR(INDEX(TRANSAKSI_LOG!$M$2:$M$998,MATCH(1,INDEX((TRANSAKSI_LOG!$C$2:$C$998=$C$5)*(TRANSAKSI_LOG!$J$2:$J$998=D$7)*(TRANSAKSI_LOG!$E$2:$E$998&lt;=$B109)*(TRANSAKSI_LOG!$F$2:$F$998&gt;=$B109),0),0)) &amp; " - " &amp; INDEX(TRANSAKSI_LOG!$H$2:$H$998,MATCH(1,INDEX((TRANSAKSI_LOG!$C$2:$C$998=$C$5)*(TRANSAKSI_LOG!$J$2:$J$998=D$7)*(TRANSAKSI_LOG!$E$2:$E$998&lt;=$B109)*(TRANSAKSI_LOG!$F$2:$F$998&gt;=$B109),0),0)),"")</f>
        <v/>
      </c>
      <c r="E109" s="66" t="str">
        <f t="array" ref="E109">IFERROR(INDEX(TRANSAKSI_LOG!$M$2:$M$998,MATCH(1,INDEX((TRANSAKSI_LOG!$C$2:$C$998=$C$5)*(TRANSAKSI_LOG!$J$2:$J$998=E$7)*(TRANSAKSI_LOG!$E$2:$E$998&lt;=$B109)*(TRANSAKSI_LOG!$F$2:$F$998&gt;=$B109),0),0)) &amp; " - " &amp; INDEX(TRANSAKSI_LOG!$H$2:$H$998,MATCH(1,INDEX((TRANSAKSI_LOG!$C$2:$C$998=$C$5)*(TRANSAKSI_LOG!$J$2:$J$998=E$7)*(TRANSAKSI_LOG!$E$2:$E$998&lt;=$B109)*(TRANSAKSI_LOG!$F$2:$F$998&gt;=$B109),0),0)),"")</f>
        <v/>
      </c>
      <c r="F109" s="66" t="str">
        <f t="array" ref="F109">IFERROR(INDEX(TRANSAKSI_LOG!$M$2:$M$998,MATCH(1,INDEX((TRANSAKSI_LOG!$C$2:$C$998=$C$5)*(TRANSAKSI_LOG!$J$2:$J$998=F$7)*(TRANSAKSI_LOG!$E$2:$E$998&lt;=$B109)*(TRANSAKSI_LOG!$F$2:$F$998&gt;=$B109),0),0)) &amp; " - " &amp; INDEX(TRANSAKSI_LOG!$H$2:$H$998,MATCH(1,INDEX((TRANSAKSI_LOG!$C$2:$C$998=$C$5)*(TRANSAKSI_LOG!$J$2:$J$998=F$7)*(TRANSAKSI_LOG!$E$2:$E$998&lt;=$B109)*(TRANSAKSI_LOG!$F$2:$F$998&gt;=$B109),0),0)),"")</f>
        <v/>
      </c>
      <c r="G109" s="66" t="str">
        <f t="array" ref="G109">IFERROR(INDEX(TRANSAKSI_LOG!$M$2:$M$998,MATCH(1,INDEX((TRANSAKSI_LOG!$C$2:$C$998=$C$5)*(TRANSAKSI_LOG!$J$2:$J$998=G$7)*(TRANSAKSI_LOG!$E$2:$E$998&lt;=$B109)*(TRANSAKSI_LOG!$F$2:$F$998&gt;=$B109),0),0)) &amp; " - " &amp; INDEX(TRANSAKSI_LOG!$H$2:$H$998,MATCH(1,INDEX((TRANSAKSI_LOG!$C$2:$C$998=$C$5)*(TRANSAKSI_LOG!$J$2:$J$998=G$7)*(TRANSAKSI_LOG!$E$2:$E$998&lt;=$B109)*(TRANSAKSI_LOG!$F$2:$F$998&gt;=$B109),0),0)),"")</f>
        <v/>
      </c>
      <c r="H109" s="66" t="str">
        <f t="array" ref="H109">IFERROR(INDEX(TRANSAKSI_LOG!$M$2:$M$998,MATCH(1,INDEX((TRANSAKSI_LOG!$C$2:$C$998=$C$5)*(TRANSAKSI_LOG!$J$2:$J$998=H$7)*(TRANSAKSI_LOG!$E$2:$E$998&lt;=$B109)*(TRANSAKSI_LOG!$F$2:$F$998&gt;=$B109),0),0)) &amp; " - " &amp; INDEX(TRANSAKSI_LOG!$H$2:$H$998,MATCH(1,INDEX((TRANSAKSI_LOG!$C$2:$C$998=$C$5)*(TRANSAKSI_LOG!$J$2:$J$998=H$7)*(TRANSAKSI_LOG!$E$2:$E$998&lt;=$B109)*(TRANSAKSI_LOG!$F$2:$F$998&gt;=$B109),0),0)),"")</f>
        <v/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13">
        <v>0.6875</v>
      </c>
      <c r="C110" s="66" t="str">
        <f t="array" ref="C110">IFERROR(INDEX(TRANSAKSI_LOG!$M$2:$M$998,MATCH(1,INDEX((TRANSAKSI_LOG!$C$2:$C$998=$C$5)*(TRANSAKSI_LOG!$J$2:$J$998=C$7)*(TRANSAKSI_LOG!$E$2:$E$998&lt;=$B110)*(TRANSAKSI_LOG!$F$2:$F$998&gt;=$B110),0),0)) &amp; " - " &amp; INDEX(TRANSAKSI_LOG!$H$2:$H$998,MATCH(1,INDEX((TRANSAKSI_LOG!$C$2:$C$998=$C$5)*(TRANSAKSI_LOG!$J$2:$J$998=C$7)*(TRANSAKSI_LOG!$E$2:$E$998&lt;=$B110)*(TRANSAKSI_LOG!$F$2:$F$998&gt;=$B110),0),0)),"")</f>
        <v/>
      </c>
      <c r="D110" s="66" t="str">
        <f t="array" ref="D110">IFERROR(INDEX(TRANSAKSI_LOG!$M$2:$M$998,MATCH(1,INDEX((TRANSAKSI_LOG!$C$2:$C$998=$C$5)*(TRANSAKSI_LOG!$J$2:$J$998=D$7)*(TRANSAKSI_LOG!$E$2:$E$998&lt;=$B110)*(TRANSAKSI_LOG!$F$2:$F$998&gt;=$B110),0),0)) &amp; " - " &amp; INDEX(TRANSAKSI_LOG!$H$2:$H$998,MATCH(1,INDEX((TRANSAKSI_LOG!$C$2:$C$998=$C$5)*(TRANSAKSI_LOG!$J$2:$J$998=D$7)*(TRANSAKSI_LOG!$E$2:$E$998&lt;=$B110)*(TRANSAKSI_LOG!$F$2:$F$998&gt;=$B110),0),0)),"")</f>
        <v/>
      </c>
      <c r="E110" s="66" t="str">
        <f t="array" ref="E110">IFERROR(INDEX(TRANSAKSI_LOG!$M$2:$M$998,MATCH(1,INDEX((TRANSAKSI_LOG!$C$2:$C$998=$C$5)*(TRANSAKSI_LOG!$J$2:$J$998=E$7)*(TRANSAKSI_LOG!$E$2:$E$998&lt;=$B110)*(TRANSAKSI_LOG!$F$2:$F$998&gt;=$B110),0),0)) &amp; " - " &amp; INDEX(TRANSAKSI_LOG!$H$2:$H$998,MATCH(1,INDEX((TRANSAKSI_LOG!$C$2:$C$998=$C$5)*(TRANSAKSI_LOG!$J$2:$J$998=E$7)*(TRANSAKSI_LOG!$E$2:$E$998&lt;=$B110)*(TRANSAKSI_LOG!$F$2:$F$998&gt;=$B110),0),0)),"")</f>
        <v/>
      </c>
      <c r="F110" s="66" t="str">
        <f t="array" ref="F110">IFERROR(INDEX(TRANSAKSI_LOG!$M$2:$M$998,MATCH(1,INDEX((TRANSAKSI_LOG!$C$2:$C$998=$C$5)*(TRANSAKSI_LOG!$J$2:$J$998=F$7)*(TRANSAKSI_LOG!$E$2:$E$998&lt;=$B110)*(TRANSAKSI_LOG!$F$2:$F$998&gt;=$B110),0),0)) &amp; " - " &amp; INDEX(TRANSAKSI_LOG!$H$2:$H$998,MATCH(1,INDEX((TRANSAKSI_LOG!$C$2:$C$998=$C$5)*(TRANSAKSI_LOG!$J$2:$J$998=F$7)*(TRANSAKSI_LOG!$E$2:$E$998&lt;=$B110)*(TRANSAKSI_LOG!$F$2:$F$998&gt;=$B110),0),0)),"")</f>
        <v/>
      </c>
      <c r="G110" s="66" t="str">
        <f t="array" ref="G110">IFERROR(INDEX(TRANSAKSI_LOG!$M$2:$M$998,MATCH(1,INDEX((TRANSAKSI_LOG!$C$2:$C$998=$C$5)*(TRANSAKSI_LOG!$J$2:$J$998=G$7)*(TRANSAKSI_LOG!$E$2:$E$998&lt;=$B110)*(TRANSAKSI_LOG!$F$2:$F$998&gt;=$B110),0),0)) &amp; " - " &amp; INDEX(TRANSAKSI_LOG!$H$2:$H$998,MATCH(1,INDEX((TRANSAKSI_LOG!$C$2:$C$998=$C$5)*(TRANSAKSI_LOG!$J$2:$J$998=G$7)*(TRANSAKSI_LOG!$E$2:$E$998&lt;=$B110)*(TRANSAKSI_LOG!$F$2:$F$998&gt;=$B110),0),0)),"")</f>
        <v/>
      </c>
      <c r="H110" s="66" t="str">
        <f t="array" ref="H110">IFERROR(INDEX(TRANSAKSI_LOG!$M$2:$M$998,MATCH(1,INDEX((TRANSAKSI_LOG!$C$2:$C$998=$C$5)*(TRANSAKSI_LOG!$J$2:$J$998=H$7)*(TRANSAKSI_LOG!$E$2:$E$998&lt;=$B110)*(TRANSAKSI_LOG!$F$2:$F$998&gt;=$B110),0),0)) &amp; " - " &amp; INDEX(TRANSAKSI_LOG!$H$2:$H$998,MATCH(1,INDEX((TRANSAKSI_LOG!$C$2:$C$998=$C$5)*(TRANSAKSI_LOG!$J$2:$J$998=H$7)*(TRANSAKSI_LOG!$E$2:$E$998&lt;=$B110)*(TRANSAKSI_LOG!$F$2:$F$998&gt;=$B110),0),0)),"")</f>
        <v/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13">
        <v>0.6909722222222222</v>
      </c>
      <c r="C111" s="66" t="str">
        <f t="array" ref="C111">IFERROR(INDEX(TRANSAKSI_LOG!$M$2:$M$998,MATCH(1,INDEX((TRANSAKSI_LOG!$C$2:$C$998=$C$5)*(TRANSAKSI_LOG!$J$2:$J$998=C$7)*(TRANSAKSI_LOG!$E$2:$E$998&lt;=$B111)*(TRANSAKSI_LOG!$F$2:$F$998&gt;=$B111),0),0)) &amp; " - " &amp; INDEX(TRANSAKSI_LOG!$H$2:$H$998,MATCH(1,INDEX((TRANSAKSI_LOG!$C$2:$C$998=$C$5)*(TRANSAKSI_LOG!$J$2:$J$998=C$7)*(TRANSAKSI_LOG!$E$2:$E$998&lt;=$B111)*(TRANSAKSI_LOG!$F$2:$F$998&gt;=$B111),0),0)),"")</f>
        <v/>
      </c>
      <c r="D111" s="66" t="str">
        <f t="array" ref="D111">IFERROR(INDEX(TRANSAKSI_LOG!$M$2:$M$998,MATCH(1,INDEX((TRANSAKSI_LOG!$C$2:$C$998=$C$5)*(TRANSAKSI_LOG!$J$2:$J$998=D$7)*(TRANSAKSI_LOG!$E$2:$E$998&lt;=$B111)*(TRANSAKSI_LOG!$F$2:$F$998&gt;=$B111),0),0)) &amp; " - " &amp; INDEX(TRANSAKSI_LOG!$H$2:$H$998,MATCH(1,INDEX((TRANSAKSI_LOG!$C$2:$C$998=$C$5)*(TRANSAKSI_LOG!$J$2:$J$998=D$7)*(TRANSAKSI_LOG!$E$2:$E$998&lt;=$B111)*(TRANSAKSI_LOG!$F$2:$F$998&gt;=$B111),0),0)),"")</f>
        <v/>
      </c>
      <c r="E111" s="66" t="str">
        <f t="array" ref="E111">IFERROR(INDEX(TRANSAKSI_LOG!$M$2:$M$998,MATCH(1,INDEX((TRANSAKSI_LOG!$C$2:$C$998=$C$5)*(TRANSAKSI_LOG!$J$2:$J$998=E$7)*(TRANSAKSI_LOG!$E$2:$E$998&lt;=$B111)*(TRANSAKSI_LOG!$F$2:$F$998&gt;=$B111),0),0)) &amp; " - " &amp; INDEX(TRANSAKSI_LOG!$H$2:$H$998,MATCH(1,INDEX((TRANSAKSI_LOG!$C$2:$C$998=$C$5)*(TRANSAKSI_LOG!$J$2:$J$998=E$7)*(TRANSAKSI_LOG!$E$2:$E$998&lt;=$B111)*(TRANSAKSI_LOG!$F$2:$F$998&gt;=$B111),0),0)),"")</f>
        <v/>
      </c>
      <c r="F111" s="66" t="str">
        <f t="array" ref="F111">IFERROR(INDEX(TRANSAKSI_LOG!$M$2:$M$998,MATCH(1,INDEX((TRANSAKSI_LOG!$C$2:$C$998=$C$5)*(TRANSAKSI_LOG!$J$2:$J$998=F$7)*(TRANSAKSI_LOG!$E$2:$E$998&lt;=$B111)*(TRANSAKSI_LOG!$F$2:$F$998&gt;=$B111),0),0)) &amp; " - " &amp; INDEX(TRANSAKSI_LOG!$H$2:$H$998,MATCH(1,INDEX((TRANSAKSI_LOG!$C$2:$C$998=$C$5)*(TRANSAKSI_LOG!$J$2:$J$998=F$7)*(TRANSAKSI_LOG!$E$2:$E$998&lt;=$B111)*(TRANSAKSI_LOG!$F$2:$F$998&gt;=$B111),0),0)),"")</f>
        <v/>
      </c>
      <c r="G111" s="66" t="str">
        <f t="array" ref="G111">IFERROR(INDEX(TRANSAKSI_LOG!$M$2:$M$998,MATCH(1,INDEX((TRANSAKSI_LOG!$C$2:$C$998=$C$5)*(TRANSAKSI_LOG!$J$2:$J$998=G$7)*(TRANSAKSI_LOG!$E$2:$E$998&lt;=$B111)*(TRANSAKSI_LOG!$F$2:$F$998&gt;=$B111),0),0)) &amp; " - " &amp; INDEX(TRANSAKSI_LOG!$H$2:$H$998,MATCH(1,INDEX((TRANSAKSI_LOG!$C$2:$C$998=$C$5)*(TRANSAKSI_LOG!$J$2:$J$998=G$7)*(TRANSAKSI_LOG!$E$2:$E$998&lt;=$B111)*(TRANSAKSI_LOG!$F$2:$F$998&gt;=$B111),0),0)),"")</f>
        <v/>
      </c>
      <c r="H111" s="66" t="str">
        <f t="array" ref="H111">IFERROR(INDEX(TRANSAKSI_LOG!$M$2:$M$998,MATCH(1,INDEX((TRANSAKSI_LOG!$C$2:$C$998=$C$5)*(TRANSAKSI_LOG!$J$2:$J$998=H$7)*(TRANSAKSI_LOG!$E$2:$E$998&lt;=$B111)*(TRANSAKSI_LOG!$F$2:$F$998&gt;=$B111),0),0)) &amp; " - " &amp; INDEX(TRANSAKSI_LOG!$H$2:$H$998,MATCH(1,INDEX((TRANSAKSI_LOG!$C$2:$C$998=$C$5)*(TRANSAKSI_LOG!$J$2:$J$998=H$7)*(TRANSAKSI_LOG!$E$2:$E$998&lt;=$B111)*(TRANSAKSI_LOG!$F$2:$F$998&gt;=$B111),0),0)),"")</f>
        <v/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13">
        <v>0.6944444444444444</v>
      </c>
      <c r="C112" s="66" t="str">
        <f t="array" ref="C112">IFERROR(INDEX(TRANSAKSI_LOG!$M$2:$M$998,MATCH(1,INDEX((TRANSAKSI_LOG!$C$2:$C$998=$C$5)*(TRANSAKSI_LOG!$J$2:$J$998=C$7)*(TRANSAKSI_LOG!$E$2:$E$998&lt;=$B112)*(TRANSAKSI_LOG!$F$2:$F$998&gt;=$B112),0),0)) &amp; " - " &amp; INDEX(TRANSAKSI_LOG!$H$2:$H$998,MATCH(1,INDEX((TRANSAKSI_LOG!$C$2:$C$998=$C$5)*(TRANSAKSI_LOG!$J$2:$J$998=C$7)*(TRANSAKSI_LOG!$E$2:$E$998&lt;=$B112)*(TRANSAKSI_LOG!$F$2:$F$998&gt;=$B112),0),0)),"")</f>
        <v/>
      </c>
      <c r="D112" s="66" t="str">
        <f t="array" ref="D112">IFERROR(INDEX(TRANSAKSI_LOG!$M$2:$M$998,MATCH(1,INDEX((TRANSAKSI_LOG!$C$2:$C$998=$C$5)*(TRANSAKSI_LOG!$J$2:$J$998=D$7)*(TRANSAKSI_LOG!$E$2:$E$998&lt;=$B112)*(TRANSAKSI_LOG!$F$2:$F$998&gt;=$B112),0),0)) &amp; " - " &amp; INDEX(TRANSAKSI_LOG!$H$2:$H$998,MATCH(1,INDEX((TRANSAKSI_LOG!$C$2:$C$998=$C$5)*(TRANSAKSI_LOG!$J$2:$J$998=D$7)*(TRANSAKSI_LOG!$E$2:$E$998&lt;=$B112)*(TRANSAKSI_LOG!$F$2:$F$998&gt;=$B112),0),0)),"")</f>
        <v/>
      </c>
      <c r="E112" s="66" t="str">
        <f t="array" ref="E112">IFERROR(INDEX(TRANSAKSI_LOG!$M$2:$M$998,MATCH(1,INDEX((TRANSAKSI_LOG!$C$2:$C$998=$C$5)*(TRANSAKSI_LOG!$J$2:$J$998=E$7)*(TRANSAKSI_LOG!$E$2:$E$998&lt;=$B112)*(TRANSAKSI_LOG!$F$2:$F$998&gt;=$B112),0),0)) &amp; " - " &amp; INDEX(TRANSAKSI_LOG!$H$2:$H$998,MATCH(1,INDEX((TRANSAKSI_LOG!$C$2:$C$998=$C$5)*(TRANSAKSI_LOG!$J$2:$J$998=E$7)*(TRANSAKSI_LOG!$E$2:$E$998&lt;=$B112)*(TRANSAKSI_LOG!$F$2:$F$998&gt;=$B112),0),0)),"")</f>
        <v/>
      </c>
      <c r="F112" s="66" t="str">
        <f t="array" ref="F112">IFERROR(INDEX(TRANSAKSI_LOG!$M$2:$M$998,MATCH(1,INDEX((TRANSAKSI_LOG!$C$2:$C$998=$C$5)*(TRANSAKSI_LOG!$J$2:$J$998=F$7)*(TRANSAKSI_LOG!$E$2:$E$998&lt;=$B112)*(TRANSAKSI_LOG!$F$2:$F$998&gt;=$B112),0),0)) &amp; " - " &amp; INDEX(TRANSAKSI_LOG!$H$2:$H$998,MATCH(1,INDEX((TRANSAKSI_LOG!$C$2:$C$998=$C$5)*(TRANSAKSI_LOG!$J$2:$J$998=F$7)*(TRANSAKSI_LOG!$E$2:$E$998&lt;=$B112)*(TRANSAKSI_LOG!$F$2:$F$998&gt;=$B112),0),0)),"")</f>
        <v/>
      </c>
      <c r="G112" s="66" t="str">
        <f t="array" ref="G112">IFERROR(INDEX(TRANSAKSI_LOG!$M$2:$M$998,MATCH(1,INDEX((TRANSAKSI_LOG!$C$2:$C$998=$C$5)*(TRANSAKSI_LOG!$J$2:$J$998=G$7)*(TRANSAKSI_LOG!$E$2:$E$998&lt;=$B112)*(TRANSAKSI_LOG!$F$2:$F$998&gt;=$B112),0),0)) &amp; " - " &amp; INDEX(TRANSAKSI_LOG!$H$2:$H$998,MATCH(1,INDEX((TRANSAKSI_LOG!$C$2:$C$998=$C$5)*(TRANSAKSI_LOG!$J$2:$J$998=G$7)*(TRANSAKSI_LOG!$E$2:$E$998&lt;=$B112)*(TRANSAKSI_LOG!$F$2:$F$998&gt;=$B112),0),0)),"")</f>
        <v/>
      </c>
      <c r="H112" s="66" t="str">
        <f t="array" ref="H112">IFERROR(INDEX(TRANSAKSI_LOG!$M$2:$M$998,MATCH(1,INDEX((TRANSAKSI_LOG!$C$2:$C$998=$C$5)*(TRANSAKSI_LOG!$J$2:$J$998=H$7)*(TRANSAKSI_LOG!$E$2:$E$998&lt;=$B112)*(TRANSAKSI_LOG!$F$2:$F$998&gt;=$B112),0),0)) &amp; " - " &amp; INDEX(TRANSAKSI_LOG!$H$2:$H$998,MATCH(1,INDEX((TRANSAKSI_LOG!$C$2:$C$998=$C$5)*(TRANSAKSI_LOG!$J$2:$J$998=H$7)*(TRANSAKSI_LOG!$E$2:$E$998&lt;=$B112)*(TRANSAKSI_LOG!$F$2:$F$998&gt;=$B112),0),0)),"")</f>
        <v/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13">
        <v>0.6979166666666666</v>
      </c>
      <c r="C113" s="66" t="str">
        <f t="array" ref="C113">IFERROR(INDEX(TRANSAKSI_LOG!$M$2:$M$998,MATCH(1,INDEX((TRANSAKSI_LOG!$C$2:$C$998=$C$5)*(TRANSAKSI_LOG!$J$2:$J$998=C$7)*(TRANSAKSI_LOG!$E$2:$E$998&lt;=$B113)*(TRANSAKSI_LOG!$F$2:$F$998&gt;=$B113),0),0)) &amp; " - " &amp; INDEX(TRANSAKSI_LOG!$H$2:$H$998,MATCH(1,INDEX((TRANSAKSI_LOG!$C$2:$C$998=$C$5)*(TRANSAKSI_LOG!$J$2:$J$998=C$7)*(TRANSAKSI_LOG!$E$2:$E$998&lt;=$B113)*(TRANSAKSI_LOG!$F$2:$F$998&gt;=$B113),0),0)),"")</f>
        <v/>
      </c>
      <c r="D113" s="66" t="str">
        <f t="array" ref="D113">IFERROR(INDEX(TRANSAKSI_LOG!$M$2:$M$998,MATCH(1,INDEX((TRANSAKSI_LOG!$C$2:$C$998=$C$5)*(TRANSAKSI_LOG!$J$2:$J$998=D$7)*(TRANSAKSI_LOG!$E$2:$E$998&lt;=$B113)*(TRANSAKSI_LOG!$F$2:$F$998&gt;=$B113),0),0)) &amp; " - " &amp; INDEX(TRANSAKSI_LOG!$H$2:$H$998,MATCH(1,INDEX((TRANSAKSI_LOG!$C$2:$C$998=$C$5)*(TRANSAKSI_LOG!$J$2:$J$998=D$7)*(TRANSAKSI_LOG!$E$2:$E$998&lt;=$B113)*(TRANSAKSI_LOG!$F$2:$F$998&gt;=$B113),0),0)),"")</f>
        <v/>
      </c>
      <c r="E113" s="66" t="str">
        <f t="array" ref="E113">IFERROR(INDEX(TRANSAKSI_LOG!$M$2:$M$998,MATCH(1,INDEX((TRANSAKSI_LOG!$C$2:$C$998=$C$5)*(TRANSAKSI_LOG!$J$2:$J$998=E$7)*(TRANSAKSI_LOG!$E$2:$E$998&lt;=$B113)*(TRANSAKSI_LOG!$F$2:$F$998&gt;=$B113),0),0)) &amp; " - " &amp; INDEX(TRANSAKSI_LOG!$H$2:$H$998,MATCH(1,INDEX((TRANSAKSI_LOG!$C$2:$C$998=$C$5)*(TRANSAKSI_LOG!$J$2:$J$998=E$7)*(TRANSAKSI_LOG!$E$2:$E$998&lt;=$B113)*(TRANSAKSI_LOG!$F$2:$F$998&gt;=$B113),0),0)),"")</f>
        <v/>
      </c>
      <c r="F113" s="66" t="str">
        <f t="array" ref="F113">IFERROR(INDEX(TRANSAKSI_LOG!$M$2:$M$998,MATCH(1,INDEX((TRANSAKSI_LOG!$C$2:$C$998=$C$5)*(TRANSAKSI_LOG!$J$2:$J$998=F$7)*(TRANSAKSI_LOG!$E$2:$E$998&lt;=$B113)*(TRANSAKSI_LOG!$F$2:$F$998&gt;=$B113),0),0)) &amp; " - " &amp; INDEX(TRANSAKSI_LOG!$H$2:$H$998,MATCH(1,INDEX((TRANSAKSI_LOG!$C$2:$C$998=$C$5)*(TRANSAKSI_LOG!$J$2:$J$998=F$7)*(TRANSAKSI_LOG!$E$2:$E$998&lt;=$B113)*(TRANSAKSI_LOG!$F$2:$F$998&gt;=$B113),0),0)),"")</f>
        <v/>
      </c>
      <c r="G113" s="66" t="str">
        <f t="array" ref="G113">IFERROR(INDEX(TRANSAKSI_LOG!$M$2:$M$998,MATCH(1,INDEX((TRANSAKSI_LOG!$C$2:$C$998=$C$5)*(TRANSAKSI_LOG!$J$2:$J$998=G$7)*(TRANSAKSI_LOG!$E$2:$E$998&lt;=$B113)*(TRANSAKSI_LOG!$F$2:$F$998&gt;=$B113),0),0)) &amp; " - " &amp; INDEX(TRANSAKSI_LOG!$H$2:$H$998,MATCH(1,INDEX((TRANSAKSI_LOG!$C$2:$C$998=$C$5)*(TRANSAKSI_LOG!$J$2:$J$998=G$7)*(TRANSAKSI_LOG!$E$2:$E$998&lt;=$B113)*(TRANSAKSI_LOG!$F$2:$F$998&gt;=$B113),0),0)),"")</f>
        <v/>
      </c>
      <c r="H113" s="66" t="str">
        <f t="array" ref="H113">IFERROR(INDEX(TRANSAKSI_LOG!$M$2:$M$998,MATCH(1,INDEX((TRANSAKSI_LOG!$C$2:$C$998=$C$5)*(TRANSAKSI_LOG!$J$2:$J$998=H$7)*(TRANSAKSI_LOG!$E$2:$E$998&lt;=$B113)*(TRANSAKSI_LOG!$F$2:$F$998&gt;=$B113),0),0)) &amp; " - " &amp; INDEX(TRANSAKSI_LOG!$H$2:$H$998,MATCH(1,INDEX((TRANSAKSI_LOG!$C$2:$C$998=$C$5)*(TRANSAKSI_LOG!$J$2:$J$998=H$7)*(TRANSAKSI_LOG!$E$2:$E$998&lt;=$B113)*(TRANSAKSI_LOG!$F$2:$F$998&gt;=$B113),0),0)),"")</f>
        <v/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13">
        <v>0.7013888888888888</v>
      </c>
      <c r="C114" s="66" t="str">
        <f t="array" ref="C114">IFERROR(INDEX(TRANSAKSI_LOG!$M$2:$M$998,MATCH(1,INDEX((TRANSAKSI_LOG!$C$2:$C$998=$C$5)*(TRANSAKSI_LOG!$J$2:$J$998=C$7)*(TRANSAKSI_LOG!$E$2:$E$998&lt;=$B114)*(TRANSAKSI_LOG!$F$2:$F$998&gt;=$B114),0),0)) &amp; " - " &amp; INDEX(TRANSAKSI_LOG!$H$2:$H$998,MATCH(1,INDEX((TRANSAKSI_LOG!$C$2:$C$998=$C$5)*(TRANSAKSI_LOG!$J$2:$J$998=C$7)*(TRANSAKSI_LOG!$E$2:$E$998&lt;=$B114)*(TRANSAKSI_LOG!$F$2:$F$998&gt;=$B114),0),0)),"")</f>
        <v/>
      </c>
      <c r="D114" s="66" t="str">
        <f t="array" ref="D114">IFERROR(INDEX(TRANSAKSI_LOG!$M$2:$M$998,MATCH(1,INDEX((TRANSAKSI_LOG!$C$2:$C$998=$C$5)*(TRANSAKSI_LOG!$J$2:$J$998=D$7)*(TRANSAKSI_LOG!$E$2:$E$998&lt;=$B114)*(TRANSAKSI_LOG!$F$2:$F$998&gt;=$B114),0),0)) &amp; " - " &amp; INDEX(TRANSAKSI_LOG!$H$2:$H$998,MATCH(1,INDEX((TRANSAKSI_LOG!$C$2:$C$998=$C$5)*(TRANSAKSI_LOG!$J$2:$J$998=D$7)*(TRANSAKSI_LOG!$E$2:$E$998&lt;=$B114)*(TRANSAKSI_LOG!$F$2:$F$998&gt;=$B114),0),0)),"")</f>
        <v/>
      </c>
      <c r="E114" s="66" t="str">
        <f t="array" ref="E114">IFERROR(INDEX(TRANSAKSI_LOG!$M$2:$M$998,MATCH(1,INDEX((TRANSAKSI_LOG!$C$2:$C$998=$C$5)*(TRANSAKSI_LOG!$J$2:$J$998=E$7)*(TRANSAKSI_LOG!$E$2:$E$998&lt;=$B114)*(TRANSAKSI_LOG!$F$2:$F$998&gt;=$B114),0),0)) &amp; " - " &amp; INDEX(TRANSAKSI_LOG!$H$2:$H$998,MATCH(1,INDEX((TRANSAKSI_LOG!$C$2:$C$998=$C$5)*(TRANSAKSI_LOG!$J$2:$J$998=E$7)*(TRANSAKSI_LOG!$E$2:$E$998&lt;=$B114)*(TRANSAKSI_LOG!$F$2:$F$998&gt;=$B114),0),0)),"")</f>
        <v/>
      </c>
      <c r="F114" s="66" t="str">
        <f t="array" ref="F114">IFERROR(INDEX(TRANSAKSI_LOG!$M$2:$M$998,MATCH(1,INDEX((TRANSAKSI_LOG!$C$2:$C$998=$C$5)*(TRANSAKSI_LOG!$J$2:$J$998=F$7)*(TRANSAKSI_LOG!$E$2:$E$998&lt;=$B114)*(TRANSAKSI_LOG!$F$2:$F$998&gt;=$B114),0),0)) &amp; " - " &amp; INDEX(TRANSAKSI_LOG!$H$2:$H$998,MATCH(1,INDEX((TRANSAKSI_LOG!$C$2:$C$998=$C$5)*(TRANSAKSI_LOG!$J$2:$J$998=F$7)*(TRANSAKSI_LOG!$E$2:$E$998&lt;=$B114)*(TRANSAKSI_LOG!$F$2:$F$998&gt;=$B114),0),0)),"")</f>
        <v/>
      </c>
      <c r="G114" s="66" t="str">
        <f t="array" ref="G114">IFERROR(INDEX(TRANSAKSI_LOG!$M$2:$M$998,MATCH(1,INDEX((TRANSAKSI_LOG!$C$2:$C$998=$C$5)*(TRANSAKSI_LOG!$J$2:$J$998=G$7)*(TRANSAKSI_LOG!$E$2:$E$998&lt;=$B114)*(TRANSAKSI_LOG!$F$2:$F$998&gt;=$B114),0),0)) &amp; " - " &amp; INDEX(TRANSAKSI_LOG!$H$2:$H$998,MATCH(1,INDEX((TRANSAKSI_LOG!$C$2:$C$998=$C$5)*(TRANSAKSI_LOG!$J$2:$J$998=G$7)*(TRANSAKSI_LOG!$E$2:$E$998&lt;=$B114)*(TRANSAKSI_LOG!$F$2:$F$998&gt;=$B114),0),0)),"")</f>
        <v/>
      </c>
      <c r="H114" s="66" t="str">
        <f t="array" ref="H114">IFERROR(INDEX(TRANSAKSI_LOG!$M$2:$M$998,MATCH(1,INDEX((TRANSAKSI_LOG!$C$2:$C$998=$C$5)*(TRANSAKSI_LOG!$J$2:$J$998=H$7)*(TRANSAKSI_LOG!$E$2:$E$998&lt;=$B114)*(TRANSAKSI_LOG!$F$2:$F$998&gt;=$B114),0),0)) &amp; " - " &amp; INDEX(TRANSAKSI_LOG!$H$2:$H$998,MATCH(1,INDEX((TRANSAKSI_LOG!$C$2:$C$998=$C$5)*(TRANSAKSI_LOG!$J$2:$J$998=H$7)*(TRANSAKSI_LOG!$E$2:$E$998&lt;=$B114)*(TRANSAKSI_LOG!$F$2:$F$998&gt;=$B114),0),0)),"")</f>
        <v/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13">
        <v>0.7048611111111112</v>
      </c>
      <c r="C115" s="66" t="str">
        <f t="array" ref="C115">IFERROR(INDEX(TRANSAKSI_LOG!$M$2:$M$998,MATCH(1,INDEX((TRANSAKSI_LOG!$C$2:$C$998=$C$5)*(TRANSAKSI_LOG!$J$2:$J$998=C$7)*(TRANSAKSI_LOG!$E$2:$E$998&lt;=$B115)*(TRANSAKSI_LOG!$F$2:$F$998&gt;=$B115),0),0)) &amp; " - " &amp; INDEX(TRANSAKSI_LOG!$H$2:$H$998,MATCH(1,INDEX((TRANSAKSI_LOG!$C$2:$C$998=$C$5)*(TRANSAKSI_LOG!$J$2:$J$998=C$7)*(TRANSAKSI_LOG!$E$2:$E$998&lt;=$B115)*(TRANSAKSI_LOG!$F$2:$F$998&gt;=$B115),0),0)),"")</f>
        <v/>
      </c>
      <c r="D115" s="66" t="str">
        <f t="array" ref="D115">IFERROR(INDEX(TRANSAKSI_LOG!$M$2:$M$998,MATCH(1,INDEX((TRANSAKSI_LOG!$C$2:$C$998=$C$5)*(TRANSAKSI_LOG!$J$2:$J$998=D$7)*(TRANSAKSI_LOG!$E$2:$E$998&lt;=$B115)*(TRANSAKSI_LOG!$F$2:$F$998&gt;=$B115),0),0)) &amp; " - " &amp; INDEX(TRANSAKSI_LOG!$H$2:$H$998,MATCH(1,INDEX((TRANSAKSI_LOG!$C$2:$C$998=$C$5)*(TRANSAKSI_LOG!$J$2:$J$998=D$7)*(TRANSAKSI_LOG!$E$2:$E$998&lt;=$B115)*(TRANSAKSI_LOG!$F$2:$F$998&gt;=$B115),0),0)),"")</f>
        <v/>
      </c>
      <c r="E115" s="66" t="str">
        <f t="array" ref="E115">IFERROR(INDEX(TRANSAKSI_LOG!$M$2:$M$998,MATCH(1,INDEX((TRANSAKSI_LOG!$C$2:$C$998=$C$5)*(TRANSAKSI_LOG!$J$2:$J$998=E$7)*(TRANSAKSI_LOG!$E$2:$E$998&lt;=$B115)*(TRANSAKSI_LOG!$F$2:$F$998&gt;=$B115),0),0)) &amp; " - " &amp; INDEX(TRANSAKSI_LOG!$H$2:$H$998,MATCH(1,INDEX((TRANSAKSI_LOG!$C$2:$C$998=$C$5)*(TRANSAKSI_LOG!$J$2:$J$998=E$7)*(TRANSAKSI_LOG!$E$2:$E$998&lt;=$B115)*(TRANSAKSI_LOG!$F$2:$F$998&gt;=$B115),0),0)),"")</f>
        <v/>
      </c>
      <c r="F115" s="66" t="str">
        <f t="array" ref="F115">IFERROR(INDEX(TRANSAKSI_LOG!$M$2:$M$998,MATCH(1,INDEX((TRANSAKSI_LOG!$C$2:$C$998=$C$5)*(TRANSAKSI_LOG!$J$2:$J$998=F$7)*(TRANSAKSI_LOG!$E$2:$E$998&lt;=$B115)*(TRANSAKSI_LOG!$F$2:$F$998&gt;=$B115),0),0)) &amp; " - " &amp; INDEX(TRANSAKSI_LOG!$H$2:$H$998,MATCH(1,INDEX((TRANSAKSI_LOG!$C$2:$C$998=$C$5)*(TRANSAKSI_LOG!$J$2:$J$998=F$7)*(TRANSAKSI_LOG!$E$2:$E$998&lt;=$B115)*(TRANSAKSI_LOG!$F$2:$F$998&gt;=$B115),0),0)),"")</f>
        <v/>
      </c>
      <c r="G115" s="66" t="str">
        <f t="array" ref="G115">IFERROR(INDEX(TRANSAKSI_LOG!$M$2:$M$998,MATCH(1,INDEX((TRANSAKSI_LOG!$C$2:$C$998=$C$5)*(TRANSAKSI_LOG!$J$2:$J$998=G$7)*(TRANSAKSI_LOG!$E$2:$E$998&lt;=$B115)*(TRANSAKSI_LOG!$F$2:$F$998&gt;=$B115),0),0)) &amp; " - " &amp; INDEX(TRANSAKSI_LOG!$H$2:$H$998,MATCH(1,INDEX((TRANSAKSI_LOG!$C$2:$C$998=$C$5)*(TRANSAKSI_LOG!$J$2:$J$998=G$7)*(TRANSAKSI_LOG!$E$2:$E$998&lt;=$B115)*(TRANSAKSI_LOG!$F$2:$F$998&gt;=$B115),0),0)),"")</f>
        <v/>
      </c>
      <c r="H115" s="66" t="str">
        <f t="array" ref="H115">IFERROR(INDEX(TRANSAKSI_LOG!$M$2:$M$998,MATCH(1,INDEX((TRANSAKSI_LOG!$C$2:$C$998=$C$5)*(TRANSAKSI_LOG!$J$2:$J$998=H$7)*(TRANSAKSI_LOG!$E$2:$E$998&lt;=$B115)*(TRANSAKSI_LOG!$F$2:$F$998&gt;=$B115),0),0)) &amp; " - " &amp; INDEX(TRANSAKSI_LOG!$H$2:$H$998,MATCH(1,INDEX((TRANSAKSI_LOG!$C$2:$C$998=$C$5)*(TRANSAKSI_LOG!$J$2:$J$998=H$7)*(TRANSAKSI_LOG!$E$2:$E$998&lt;=$B115)*(TRANSAKSI_LOG!$F$2:$F$998&gt;=$B115),0),0)),"")</f>
        <v/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13">
        <v>0.7083333333333334</v>
      </c>
      <c r="C116" s="66" t="str">
        <f t="array" ref="C116">IFERROR(INDEX(TRANSAKSI_LOG!$M$2:$M$998,MATCH(1,INDEX((TRANSAKSI_LOG!$C$2:$C$998=$C$5)*(TRANSAKSI_LOG!$J$2:$J$998=C$7)*(TRANSAKSI_LOG!$E$2:$E$998&lt;=$B116)*(TRANSAKSI_LOG!$F$2:$F$998&gt;=$B116),0),0)) &amp; " - " &amp; INDEX(TRANSAKSI_LOG!$H$2:$H$998,MATCH(1,INDEX((TRANSAKSI_LOG!$C$2:$C$998=$C$5)*(TRANSAKSI_LOG!$J$2:$J$998=C$7)*(TRANSAKSI_LOG!$E$2:$E$998&lt;=$B116)*(TRANSAKSI_LOG!$F$2:$F$998&gt;=$B116),0),0)),"")</f>
        <v/>
      </c>
      <c r="D116" s="66" t="str">
        <f t="array" ref="D116">IFERROR(INDEX(TRANSAKSI_LOG!$M$2:$M$998,MATCH(1,INDEX((TRANSAKSI_LOG!$C$2:$C$998=$C$5)*(TRANSAKSI_LOG!$J$2:$J$998=D$7)*(TRANSAKSI_LOG!$E$2:$E$998&lt;=$B116)*(TRANSAKSI_LOG!$F$2:$F$998&gt;=$B116),0),0)) &amp; " - " &amp; INDEX(TRANSAKSI_LOG!$H$2:$H$998,MATCH(1,INDEX((TRANSAKSI_LOG!$C$2:$C$998=$C$5)*(TRANSAKSI_LOG!$J$2:$J$998=D$7)*(TRANSAKSI_LOG!$E$2:$E$998&lt;=$B116)*(TRANSAKSI_LOG!$F$2:$F$998&gt;=$B116),0),0)),"")</f>
        <v/>
      </c>
      <c r="E116" s="66" t="str">
        <f t="array" ref="E116">IFERROR(INDEX(TRANSAKSI_LOG!$M$2:$M$998,MATCH(1,INDEX((TRANSAKSI_LOG!$C$2:$C$998=$C$5)*(TRANSAKSI_LOG!$J$2:$J$998=E$7)*(TRANSAKSI_LOG!$E$2:$E$998&lt;=$B116)*(TRANSAKSI_LOG!$F$2:$F$998&gt;=$B116),0),0)) &amp; " - " &amp; INDEX(TRANSAKSI_LOG!$H$2:$H$998,MATCH(1,INDEX((TRANSAKSI_LOG!$C$2:$C$998=$C$5)*(TRANSAKSI_LOG!$J$2:$J$998=E$7)*(TRANSAKSI_LOG!$E$2:$E$998&lt;=$B116)*(TRANSAKSI_LOG!$F$2:$F$998&gt;=$B116),0),0)),"")</f>
        <v/>
      </c>
      <c r="F116" s="66" t="str">
        <f t="array" ref="F116">IFERROR(INDEX(TRANSAKSI_LOG!$M$2:$M$998,MATCH(1,INDEX((TRANSAKSI_LOG!$C$2:$C$998=$C$5)*(TRANSAKSI_LOG!$J$2:$J$998=F$7)*(TRANSAKSI_LOG!$E$2:$E$998&lt;=$B116)*(TRANSAKSI_LOG!$F$2:$F$998&gt;=$B116),0),0)) &amp; " - " &amp; INDEX(TRANSAKSI_LOG!$H$2:$H$998,MATCH(1,INDEX((TRANSAKSI_LOG!$C$2:$C$998=$C$5)*(TRANSAKSI_LOG!$J$2:$J$998=F$7)*(TRANSAKSI_LOG!$E$2:$E$998&lt;=$B116)*(TRANSAKSI_LOG!$F$2:$F$998&gt;=$B116),0),0)),"")</f>
        <v/>
      </c>
      <c r="G116" s="66" t="str">
        <f t="array" ref="G116">IFERROR(INDEX(TRANSAKSI_LOG!$M$2:$M$998,MATCH(1,INDEX((TRANSAKSI_LOG!$C$2:$C$998=$C$5)*(TRANSAKSI_LOG!$J$2:$J$998=G$7)*(TRANSAKSI_LOG!$E$2:$E$998&lt;=$B116)*(TRANSAKSI_LOG!$F$2:$F$998&gt;=$B116),0),0)) &amp; " - " &amp; INDEX(TRANSAKSI_LOG!$H$2:$H$998,MATCH(1,INDEX((TRANSAKSI_LOG!$C$2:$C$998=$C$5)*(TRANSAKSI_LOG!$J$2:$J$998=G$7)*(TRANSAKSI_LOG!$E$2:$E$998&lt;=$B116)*(TRANSAKSI_LOG!$F$2:$F$998&gt;=$B116),0),0)),"")</f>
        <v/>
      </c>
      <c r="H116" s="66" t="str">
        <f t="array" ref="H116">IFERROR(INDEX(TRANSAKSI_LOG!$M$2:$M$998,MATCH(1,INDEX((TRANSAKSI_LOG!$C$2:$C$998=$C$5)*(TRANSAKSI_LOG!$J$2:$J$998=H$7)*(TRANSAKSI_LOG!$E$2:$E$998&lt;=$B116)*(TRANSAKSI_LOG!$F$2:$F$998&gt;=$B116),0),0)) &amp; " - " &amp; INDEX(TRANSAKSI_LOG!$H$2:$H$998,MATCH(1,INDEX((TRANSAKSI_LOG!$C$2:$C$998=$C$5)*(TRANSAKSI_LOG!$J$2:$J$998=H$7)*(TRANSAKSI_LOG!$E$2:$E$998&lt;=$B116)*(TRANSAKSI_LOG!$F$2:$F$998&gt;=$B116),0),0)),"")</f>
        <v/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13">
        <v>0.7118055555555556</v>
      </c>
      <c r="C117" s="66" t="str">
        <f t="array" ref="C117">IFERROR(INDEX(TRANSAKSI_LOG!$M$2:$M$998,MATCH(1,INDEX((TRANSAKSI_LOG!$C$2:$C$998=$C$5)*(TRANSAKSI_LOG!$J$2:$J$998=C$7)*(TRANSAKSI_LOG!$E$2:$E$998&lt;=$B117)*(TRANSAKSI_LOG!$F$2:$F$998&gt;=$B117),0),0)) &amp; " - " &amp; INDEX(TRANSAKSI_LOG!$H$2:$H$998,MATCH(1,INDEX((TRANSAKSI_LOG!$C$2:$C$998=$C$5)*(TRANSAKSI_LOG!$J$2:$J$998=C$7)*(TRANSAKSI_LOG!$E$2:$E$998&lt;=$B117)*(TRANSAKSI_LOG!$F$2:$F$998&gt;=$B117),0),0)),"")</f>
        <v/>
      </c>
      <c r="D117" s="66" t="str">
        <f t="array" ref="D117">IFERROR(INDEX(TRANSAKSI_LOG!$M$2:$M$998,MATCH(1,INDEX((TRANSAKSI_LOG!$C$2:$C$998=$C$5)*(TRANSAKSI_LOG!$J$2:$J$998=D$7)*(TRANSAKSI_LOG!$E$2:$E$998&lt;=$B117)*(TRANSAKSI_LOG!$F$2:$F$998&gt;=$B117),0),0)) &amp; " - " &amp; INDEX(TRANSAKSI_LOG!$H$2:$H$998,MATCH(1,INDEX((TRANSAKSI_LOG!$C$2:$C$998=$C$5)*(TRANSAKSI_LOG!$J$2:$J$998=D$7)*(TRANSAKSI_LOG!$E$2:$E$998&lt;=$B117)*(TRANSAKSI_LOG!$F$2:$F$998&gt;=$B117),0),0)),"")</f>
        <v/>
      </c>
      <c r="E117" s="66" t="str">
        <f t="array" ref="E117">IFERROR(INDEX(TRANSAKSI_LOG!$M$2:$M$998,MATCH(1,INDEX((TRANSAKSI_LOG!$C$2:$C$998=$C$5)*(TRANSAKSI_LOG!$J$2:$J$998=E$7)*(TRANSAKSI_LOG!$E$2:$E$998&lt;=$B117)*(TRANSAKSI_LOG!$F$2:$F$998&gt;=$B117),0),0)) &amp; " - " &amp; INDEX(TRANSAKSI_LOG!$H$2:$H$998,MATCH(1,INDEX((TRANSAKSI_LOG!$C$2:$C$998=$C$5)*(TRANSAKSI_LOG!$J$2:$J$998=E$7)*(TRANSAKSI_LOG!$E$2:$E$998&lt;=$B117)*(TRANSAKSI_LOG!$F$2:$F$998&gt;=$B117),0),0)),"")</f>
        <v/>
      </c>
      <c r="F117" s="66" t="str">
        <f t="array" ref="F117">IFERROR(INDEX(TRANSAKSI_LOG!$M$2:$M$998,MATCH(1,INDEX((TRANSAKSI_LOG!$C$2:$C$998=$C$5)*(TRANSAKSI_LOG!$J$2:$J$998=F$7)*(TRANSAKSI_LOG!$E$2:$E$998&lt;=$B117)*(TRANSAKSI_LOG!$F$2:$F$998&gt;=$B117),0),0)) &amp; " - " &amp; INDEX(TRANSAKSI_LOG!$H$2:$H$998,MATCH(1,INDEX((TRANSAKSI_LOG!$C$2:$C$998=$C$5)*(TRANSAKSI_LOG!$J$2:$J$998=F$7)*(TRANSAKSI_LOG!$E$2:$E$998&lt;=$B117)*(TRANSAKSI_LOG!$F$2:$F$998&gt;=$B117),0),0)),"")</f>
        <v/>
      </c>
      <c r="G117" s="66" t="str">
        <f t="array" ref="G117">IFERROR(INDEX(TRANSAKSI_LOG!$M$2:$M$998,MATCH(1,INDEX((TRANSAKSI_LOG!$C$2:$C$998=$C$5)*(TRANSAKSI_LOG!$J$2:$J$998=G$7)*(TRANSAKSI_LOG!$E$2:$E$998&lt;=$B117)*(TRANSAKSI_LOG!$F$2:$F$998&gt;=$B117),0),0)) &amp; " - " &amp; INDEX(TRANSAKSI_LOG!$H$2:$H$998,MATCH(1,INDEX((TRANSAKSI_LOG!$C$2:$C$998=$C$5)*(TRANSAKSI_LOG!$J$2:$J$998=G$7)*(TRANSAKSI_LOG!$E$2:$E$998&lt;=$B117)*(TRANSAKSI_LOG!$F$2:$F$998&gt;=$B117),0),0)),"")</f>
        <v/>
      </c>
      <c r="H117" s="66" t="str">
        <f t="array" ref="H117">IFERROR(INDEX(TRANSAKSI_LOG!$M$2:$M$998,MATCH(1,INDEX((TRANSAKSI_LOG!$C$2:$C$998=$C$5)*(TRANSAKSI_LOG!$J$2:$J$998=H$7)*(TRANSAKSI_LOG!$E$2:$E$998&lt;=$B117)*(TRANSAKSI_LOG!$F$2:$F$998&gt;=$B117),0),0)) &amp; " - " &amp; INDEX(TRANSAKSI_LOG!$H$2:$H$998,MATCH(1,INDEX((TRANSAKSI_LOG!$C$2:$C$998=$C$5)*(TRANSAKSI_LOG!$J$2:$J$998=H$7)*(TRANSAKSI_LOG!$E$2:$E$998&lt;=$B117)*(TRANSAKSI_LOG!$F$2:$F$998&gt;=$B117),0),0)),"")</f>
        <v/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13">
        <v>0.7152777777777778</v>
      </c>
      <c r="C118" s="66" t="str">
        <f t="array" ref="C118">IFERROR(INDEX(TRANSAKSI_LOG!$M$2:$M$998,MATCH(1,INDEX((TRANSAKSI_LOG!$C$2:$C$998=$C$5)*(TRANSAKSI_LOG!$J$2:$J$998=C$7)*(TRANSAKSI_LOG!$E$2:$E$998&lt;=$B118)*(TRANSAKSI_LOG!$F$2:$F$998&gt;=$B118),0),0)) &amp; " - " &amp; INDEX(TRANSAKSI_LOG!$H$2:$H$998,MATCH(1,INDEX((TRANSAKSI_LOG!$C$2:$C$998=$C$5)*(TRANSAKSI_LOG!$J$2:$J$998=C$7)*(TRANSAKSI_LOG!$E$2:$E$998&lt;=$B118)*(TRANSAKSI_LOG!$F$2:$F$998&gt;=$B118),0),0)),"")</f>
        <v/>
      </c>
      <c r="D118" s="66" t="str">
        <f t="array" ref="D118">IFERROR(INDEX(TRANSAKSI_LOG!$M$2:$M$998,MATCH(1,INDEX((TRANSAKSI_LOG!$C$2:$C$998=$C$5)*(TRANSAKSI_LOG!$J$2:$J$998=D$7)*(TRANSAKSI_LOG!$E$2:$E$998&lt;=$B118)*(TRANSAKSI_LOG!$F$2:$F$998&gt;=$B118),0),0)) &amp; " - " &amp; INDEX(TRANSAKSI_LOG!$H$2:$H$998,MATCH(1,INDEX((TRANSAKSI_LOG!$C$2:$C$998=$C$5)*(TRANSAKSI_LOG!$J$2:$J$998=D$7)*(TRANSAKSI_LOG!$E$2:$E$998&lt;=$B118)*(TRANSAKSI_LOG!$F$2:$F$998&gt;=$B118),0),0)),"")</f>
        <v/>
      </c>
      <c r="E118" s="66" t="str">
        <f t="array" ref="E118">IFERROR(INDEX(TRANSAKSI_LOG!$M$2:$M$998,MATCH(1,INDEX((TRANSAKSI_LOG!$C$2:$C$998=$C$5)*(TRANSAKSI_LOG!$J$2:$J$998=E$7)*(TRANSAKSI_LOG!$E$2:$E$998&lt;=$B118)*(TRANSAKSI_LOG!$F$2:$F$998&gt;=$B118),0),0)) &amp; " - " &amp; INDEX(TRANSAKSI_LOG!$H$2:$H$998,MATCH(1,INDEX((TRANSAKSI_LOG!$C$2:$C$998=$C$5)*(TRANSAKSI_LOG!$J$2:$J$998=E$7)*(TRANSAKSI_LOG!$E$2:$E$998&lt;=$B118)*(TRANSAKSI_LOG!$F$2:$F$998&gt;=$B118),0),0)),"")</f>
        <v/>
      </c>
      <c r="F118" s="66" t="str">
        <f t="array" ref="F118">IFERROR(INDEX(TRANSAKSI_LOG!$M$2:$M$998,MATCH(1,INDEX((TRANSAKSI_LOG!$C$2:$C$998=$C$5)*(TRANSAKSI_LOG!$J$2:$J$998=F$7)*(TRANSAKSI_LOG!$E$2:$E$998&lt;=$B118)*(TRANSAKSI_LOG!$F$2:$F$998&gt;=$B118),0),0)) &amp; " - " &amp; INDEX(TRANSAKSI_LOG!$H$2:$H$998,MATCH(1,INDEX((TRANSAKSI_LOG!$C$2:$C$998=$C$5)*(TRANSAKSI_LOG!$J$2:$J$998=F$7)*(TRANSAKSI_LOG!$E$2:$E$998&lt;=$B118)*(TRANSAKSI_LOG!$F$2:$F$998&gt;=$B118),0),0)),"")</f>
        <v/>
      </c>
      <c r="G118" s="66" t="str">
        <f t="array" ref="G118">IFERROR(INDEX(TRANSAKSI_LOG!$M$2:$M$998,MATCH(1,INDEX((TRANSAKSI_LOG!$C$2:$C$998=$C$5)*(TRANSAKSI_LOG!$J$2:$J$998=G$7)*(TRANSAKSI_LOG!$E$2:$E$998&lt;=$B118)*(TRANSAKSI_LOG!$F$2:$F$998&gt;=$B118),0),0)) &amp; " - " &amp; INDEX(TRANSAKSI_LOG!$H$2:$H$998,MATCH(1,INDEX((TRANSAKSI_LOG!$C$2:$C$998=$C$5)*(TRANSAKSI_LOG!$J$2:$J$998=G$7)*(TRANSAKSI_LOG!$E$2:$E$998&lt;=$B118)*(TRANSAKSI_LOG!$F$2:$F$998&gt;=$B118),0),0)),"")</f>
        <v/>
      </c>
      <c r="H118" s="66" t="str">
        <f t="array" ref="H118">IFERROR(INDEX(TRANSAKSI_LOG!$M$2:$M$998,MATCH(1,INDEX((TRANSAKSI_LOG!$C$2:$C$998=$C$5)*(TRANSAKSI_LOG!$J$2:$J$998=H$7)*(TRANSAKSI_LOG!$E$2:$E$998&lt;=$B118)*(TRANSAKSI_LOG!$F$2:$F$998&gt;=$B118),0),0)) &amp; " - " &amp; INDEX(TRANSAKSI_LOG!$H$2:$H$998,MATCH(1,INDEX((TRANSAKSI_LOG!$C$2:$C$998=$C$5)*(TRANSAKSI_LOG!$J$2:$J$998=H$7)*(TRANSAKSI_LOG!$E$2:$E$998&lt;=$B118)*(TRANSAKSI_LOG!$F$2:$F$998&gt;=$B118),0),0)),"")</f>
        <v/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13">
        <v>0.71875</v>
      </c>
      <c r="C119" s="66" t="str">
        <f t="array" ref="C119">IFERROR(INDEX(TRANSAKSI_LOG!$M$2:$M$998,MATCH(1,INDEX((TRANSAKSI_LOG!$C$2:$C$998=$C$5)*(TRANSAKSI_LOG!$J$2:$J$998=C$7)*(TRANSAKSI_LOG!$E$2:$E$998&lt;=$B119)*(TRANSAKSI_LOG!$F$2:$F$998&gt;=$B119),0),0)) &amp; " - " &amp; INDEX(TRANSAKSI_LOG!$H$2:$H$998,MATCH(1,INDEX((TRANSAKSI_LOG!$C$2:$C$998=$C$5)*(TRANSAKSI_LOG!$J$2:$J$998=C$7)*(TRANSAKSI_LOG!$E$2:$E$998&lt;=$B119)*(TRANSAKSI_LOG!$F$2:$F$998&gt;=$B119),0),0)),"")</f>
        <v/>
      </c>
      <c r="D119" s="66" t="str">
        <f t="array" ref="D119">IFERROR(INDEX(TRANSAKSI_LOG!$M$2:$M$998,MATCH(1,INDEX((TRANSAKSI_LOG!$C$2:$C$998=$C$5)*(TRANSAKSI_LOG!$J$2:$J$998=D$7)*(TRANSAKSI_LOG!$E$2:$E$998&lt;=$B119)*(TRANSAKSI_LOG!$F$2:$F$998&gt;=$B119),0),0)) &amp; " - " &amp; INDEX(TRANSAKSI_LOG!$H$2:$H$998,MATCH(1,INDEX((TRANSAKSI_LOG!$C$2:$C$998=$C$5)*(TRANSAKSI_LOG!$J$2:$J$998=D$7)*(TRANSAKSI_LOG!$E$2:$E$998&lt;=$B119)*(TRANSAKSI_LOG!$F$2:$F$998&gt;=$B119),0),0)),"")</f>
        <v/>
      </c>
      <c r="E119" s="66" t="str">
        <f t="array" ref="E119">IFERROR(INDEX(TRANSAKSI_LOG!$M$2:$M$998,MATCH(1,INDEX((TRANSAKSI_LOG!$C$2:$C$998=$C$5)*(TRANSAKSI_LOG!$J$2:$J$998=E$7)*(TRANSAKSI_LOG!$E$2:$E$998&lt;=$B119)*(TRANSAKSI_LOG!$F$2:$F$998&gt;=$B119),0),0)) &amp; " - " &amp; INDEX(TRANSAKSI_LOG!$H$2:$H$998,MATCH(1,INDEX((TRANSAKSI_LOG!$C$2:$C$998=$C$5)*(TRANSAKSI_LOG!$J$2:$J$998=E$7)*(TRANSAKSI_LOG!$E$2:$E$998&lt;=$B119)*(TRANSAKSI_LOG!$F$2:$F$998&gt;=$B119),0),0)),"")</f>
        <v/>
      </c>
      <c r="F119" s="66" t="str">
        <f t="array" ref="F119">IFERROR(INDEX(TRANSAKSI_LOG!$M$2:$M$998,MATCH(1,INDEX((TRANSAKSI_LOG!$C$2:$C$998=$C$5)*(TRANSAKSI_LOG!$J$2:$J$998=F$7)*(TRANSAKSI_LOG!$E$2:$E$998&lt;=$B119)*(TRANSAKSI_LOG!$F$2:$F$998&gt;=$B119),0),0)) &amp; " - " &amp; INDEX(TRANSAKSI_LOG!$H$2:$H$998,MATCH(1,INDEX((TRANSAKSI_LOG!$C$2:$C$998=$C$5)*(TRANSAKSI_LOG!$J$2:$J$998=F$7)*(TRANSAKSI_LOG!$E$2:$E$998&lt;=$B119)*(TRANSAKSI_LOG!$F$2:$F$998&gt;=$B119),0),0)),"")</f>
        <v/>
      </c>
      <c r="G119" s="66" t="str">
        <f t="array" ref="G119">IFERROR(INDEX(TRANSAKSI_LOG!$M$2:$M$998,MATCH(1,INDEX((TRANSAKSI_LOG!$C$2:$C$998=$C$5)*(TRANSAKSI_LOG!$J$2:$J$998=G$7)*(TRANSAKSI_LOG!$E$2:$E$998&lt;=$B119)*(TRANSAKSI_LOG!$F$2:$F$998&gt;=$B119),0),0)) &amp; " - " &amp; INDEX(TRANSAKSI_LOG!$H$2:$H$998,MATCH(1,INDEX((TRANSAKSI_LOG!$C$2:$C$998=$C$5)*(TRANSAKSI_LOG!$J$2:$J$998=G$7)*(TRANSAKSI_LOG!$E$2:$E$998&lt;=$B119)*(TRANSAKSI_LOG!$F$2:$F$998&gt;=$B119),0),0)),"")</f>
        <v/>
      </c>
      <c r="H119" s="66" t="str">
        <f t="array" ref="H119">IFERROR(INDEX(TRANSAKSI_LOG!$M$2:$M$998,MATCH(1,INDEX((TRANSAKSI_LOG!$C$2:$C$998=$C$5)*(TRANSAKSI_LOG!$J$2:$J$998=H$7)*(TRANSAKSI_LOG!$E$2:$E$998&lt;=$B119)*(TRANSAKSI_LOG!$F$2:$F$998&gt;=$B119),0),0)) &amp; " - " &amp; INDEX(TRANSAKSI_LOG!$H$2:$H$998,MATCH(1,INDEX((TRANSAKSI_LOG!$C$2:$C$998=$C$5)*(TRANSAKSI_LOG!$J$2:$J$998=H$7)*(TRANSAKSI_LOG!$E$2:$E$998&lt;=$B119)*(TRANSAKSI_LOG!$F$2:$F$998&gt;=$B119),0),0)),"")</f>
        <v/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13">
        <v>0.7222222222222222</v>
      </c>
      <c r="C120" s="66" t="str">
        <f t="array" ref="C120">IFERROR(INDEX(TRANSAKSI_LOG!$M$2:$M$998,MATCH(1,INDEX((TRANSAKSI_LOG!$C$2:$C$998=$C$5)*(TRANSAKSI_LOG!$J$2:$J$998=C$7)*(TRANSAKSI_LOG!$E$2:$E$998&lt;=$B120)*(TRANSAKSI_LOG!$F$2:$F$998&gt;=$B120),0),0)) &amp; " - " &amp; INDEX(TRANSAKSI_LOG!$H$2:$H$998,MATCH(1,INDEX((TRANSAKSI_LOG!$C$2:$C$998=$C$5)*(TRANSAKSI_LOG!$J$2:$J$998=C$7)*(TRANSAKSI_LOG!$E$2:$E$998&lt;=$B120)*(TRANSAKSI_LOG!$F$2:$F$998&gt;=$B120),0),0)),"")</f>
        <v/>
      </c>
      <c r="D120" s="66" t="str">
        <f t="array" ref="D120">IFERROR(INDEX(TRANSAKSI_LOG!$M$2:$M$998,MATCH(1,INDEX((TRANSAKSI_LOG!$C$2:$C$998=$C$5)*(TRANSAKSI_LOG!$J$2:$J$998=D$7)*(TRANSAKSI_LOG!$E$2:$E$998&lt;=$B120)*(TRANSAKSI_LOG!$F$2:$F$998&gt;=$B120),0),0)) &amp; " - " &amp; INDEX(TRANSAKSI_LOG!$H$2:$H$998,MATCH(1,INDEX((TRANSAKSI_LOG!$C$2:$C$998=$C$5)*(TRANSAKSI_LOG!$J$2:$J$998=D$7)*(TRANSAKSI_LOG!$E$2:$E$998&lt;=$B120)*(TRANSAKSI_LOG!$F$2:$F$998&gt;=$B120),0),0)),"")</f>
        <v/>
      </c>
      <c r="E120" s="66" t="str">
        <f t="array" ref="E120">IFERROR(INDEX(TRANSAKSI_LOG!$M$2:$M$998,MATCH(1,INDEX((TRANSAKSI_LOG!$C$2:$C$998=$C$5)*(TRANSAKSI_LOG!$J$2:$J$998=E$7)*(TRANSAKSI_LOG!$E$2:$E$998&lt;=$B120)*(TRANSAKSI_LOG!$F$2:$F$998&gt;=$B120),0),0)) &amp; " - " &amp; INDEX(TRANSAKSI_LOG!$H$2:$H$998,MATCH(1,INDEX((TRANSAKSI_LOG!$C$2:$C$998=$C$5)*(TRANSAKSI_LOG!$J$2:$J$998=E$7)*(TRANSAKSI_LOG!$E$2:$E$998&lt;=$B120)*(TRANSAKSI_LOG!$F$2:$F$998&gt;=$B120),0),0)),"")</f>
        <v/>
      </c>
      <c r="F120" s="66" t="str">
        <f t="array" ref="F120">IFERROR(INDEX(TRANSAKSI_LOG!$M$2:$M$998,MATCH(1,INDEX((TRANSAKSI_LOG!$C$2:$C$998=$C$5)*(TRANSAKSI_LOG!$J$2:$J$998=F$7)*(TRANSAKSI_LOG!$E$2:$E$998&lt;=$B120)*(TRANSAKSI_LOG!$F$2:$F$998&gt;=$B120),0),0)) &amp; " - " &amp; INDEX(TRANSAKSI_LOG!$H$2:$H$998,MATCH(1,INDEX((TRANSAKSI_LOG!$C$2:$C$998=$C$5)*(TRANSAKSI_LOG!$J$2:$J$998=F$7)*(TRANSAKSI_LOG!$E$2:$E$998&lt;=$B120)*(TRANSAKSI_LOG!$F$2:$F$998&gt;=$B120),0),0)),"")</f>
        <v/>
      </c>
      <c r="G120" s="66" t="str">
        <f t="array" ref="G120">IFERROR(INDEX(TRANSAKSI_LOG!$M$2:$M$998,MATCH(1,INDEX((TRANSAKSI_LOG!$C$2:$C$998=$C$5)*(TRANSAKSI_LOG!$J$2:$J$998=G$7)*(TRANSAKSI_LOG!$E$2:$E$998&lt;=$B120)*(TRANSAKSI_LOG!$F$2:$F$998&gt;=$B120),0),0)) &amp; " - " &amp; INDEX(TRANSAKSI_LOG!$H$2:$H$998,MATCH(1,INDEX((TRANSAKSI_LOG!$C$2:$C$998=$C$5)*(TRANSAKSI_LOG!$J$2:$J$998=G$7)*(TRANSAKSI_LOG!$E$2:$E$998&lt;=$B120)*(TRANSAKSI_LOG!$F$2:$F$998&gt;=$B120),0),0)),"")</f>
        <v/>
      </c>
      <c r="H120" s="66" t="str">
        <f t="array" ref="H120">IFERROR(INDEX(TRANSAKSI_LOG!$M$2:$M$998,MATCH(1,INDEX((TRANSAKSI_LOG!$C$2:$C$998=$C$5)*(TRANSAKSI_LOG!$J$2:$J$998=H$7)*(TRANSAKSI_LOG!$E$2:$E$998&lt;=$B120)*(TRANSAKSI_LOG!$F$2:$F$998&gt;=$B120),0),0)) &amp; " - " &amp; INDEX(TRANSAKSI_LOG!$H$2:$H$998,MATCH(1,INDEX((TRANSAKSI_LOG!$C$2:$C$998=$C$5)*(TRANSAKSI_LOG!$J$2:$J$998=H$7)*(TRANSAKSI_LOG!$E$2:$E$998&lt;=$B120)*(TRANSAKSI_LOG!$F$2:$F$998&gt;=$B120),0),0)),"")</f>
        <v/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13">
        <v>0.7256944444444444</v>
      </c>
      <c r="C121" s="66" t="str">
        <f t="array" ref="C121">IFERROR(INDEX(TRANSAKSI_LOG!$M$2:$M$998,MATCH(1,INDEX((TRANSAKSI_LOG!$C$2:$C$998=$C$5)*(TRANSAKSI_LOG!$J$2:$J$998=C$7)*(TRANSAKSI_LOG!$E$2:$E$998&lt;=$B121)*(TRANSAKSI_LOG!$F$2:$F$998&gt;=$B121),0),0)) &amp; " - " &amp; INDEX(TRANSAKSI_LOG!$H$2:$H$998,MATCH(1,INDEX((TRANSAKSI_LOG!$C$2:$C$998=$C$5)*(TRANSAKSI_LOG!$J$2:$J$998=C$7)*(TRANSAKSI_LOG!$E$2:$E$998&lt;=$B121)*(TRANSAKSI_LOG!$F$2:$F$998&gt;=$B121),0),0)),"")</f>
        <v/>
      </c>
      <c r="D121" s="66" t="str">
        <f t="array" ref="D121">IFERROR(INDEX(TRANSAKSI_LOG!$M$2:$M$998,MATCH(1,INDEX((TRANSAKSI_LOG!$C$2:$C$998=$C$5)*(TRANSAKSI_LOG!$J$2:$J$998=D$7)*(TRANSAKSI_LOG!$E$2:$E$998&lt;=$B121)*(TRANSAKSI_LOG!$F$2:$F$998&gt;=$B121),0),0)) &amp; " - " &amp; INDEX(TRANSAKSI_LOG!$H$2:$H$998,MATCH(1,INDEX((TRANSAKSI_LOG!$C$2:$C$998=$C$5)*(TRANSAKSI_LOG!$J$2:$J$998=D$7)*(TRANSAKSI_LOG!$E$2:$E$998&lt;=$B121)*(TRANSAKSI_LOG!$F$2:$F$998&gt;=$B121),0),0)),"")</f>
        <v/>
      </c>
      <c r="E121" s="66" t="str">
        <f t="array" ref="E121">IFERROR(INDEX(TRANSAKSI_LOG!$M$2:$M$998,MATCH(1,INDEX((TRANSAKSI_LOG!$C$2:$C$998=$C$5)*(TRANSAKSI_LOG!$J$2:$J$998=E$7)*(TRANSAKSI_LOG!$E$2:$E$998&lt;=$B121)*(TRANSAKSI_LOG!$F$2:$F$998&gt;=$B121),0),0)) &amp; " - " &amp; INDEX(TRANSAKSI_LOG!$H$2:$H$998,MATCH(1,INDEX((TRANSAKSI_LOG!$C$2:$C$998=$C$5)*(TRANSAKSI_LOG!$J$2:$J$998=E$7)*(TRANSAKSI_LOG!$E$2:$E$998&lt;=$B121)*(TRANSAKSI_LOG!$F$2:$F$998&gt;=$B121),0),0)),"")</f>
        <v/>
      </c>
      <c r="F121" s="66" t="str">
        <f t="array" ref="F121">IFERROR(INDEX(TRANSAKSI_LOG!$M$2:$M$998,MATCH(1,INDEX((TRANSAKSI_LOG!$C$2:$C$998=$C$5)*(TRANSAKSI_LOG!$J$2:$J$998=F$7)*(TRANSAKSI_LOG!$E$2:$E$998&lt;=$B121)*(TRANSAKSI_LOG!$F$2:$F$998&gt;=$B121),0),0)) &amp; " - " &amp; INDEX(TRANSAKSI_LOG!$H$2:$H$998,MATCH(1,INDEX((TRANSAKSI_LOG!$C$2:$C$998=$C$5)*(TRANSAKSI_LOG!$J$2:$J$998=F$7)*(TRANSAKSI_LOG!$E$2:$E$998&lt;=$B121)*(TRANSAKSI_LOG!$F$2:$F$998&gt;=$B121),0),0)),"")</f>
        <v/>
      </c>
      <c r="G121" s="66" t="str">
        <f t="array" ref="G121">IFERROR(INDEX(TRANSAKSI_LOG!$M$2:$M$998,MATCH(1,INDEX((TRANSAKSI_LOG!$C$2:$C$998=$C$5)*(TRANSAKSI_LOG!$J$2:$J$998=G$7)*(TRANSAKSI_LOG!$E$2:$E$998&lt;=$B121)*(TRANSAKSI_LOG!$F$2:$F$998&gt;=$B121),0),0)) &amp; " - " &amp; INDEX(TRANSAKSI_LOG!$H$2:$H$998,MATCH(1,INDEX((TRANSAKSI_LOG!$C$2:$C$998=$C$5)*(TRANSAKSI_LOG!$J$2:$J$998=G$7)*(TRANSAKSI_LOG!$E$2:$E$998&lt;=$B121)*(TRANSAKSI_LOG!$F$2:$F$998&gt;=$B121),0),0)),"")</f>
        <v/>
      </c>
      <c r="H121" s="66" t="str">
        <f t="array" ref="H121">IFERROR(INDEX(TRANSAKSI_LOG!$M$2:$M$998,MATCH(1,INDEX((TRANSAKSI_LOG!$C$2:$C$998=$C$5)*(TRANSAKSI_LOG!$J$2:$J$998=H$7)*(TRANSAKSI_LOG!$E$2:$E$998&lt;=$B121)*(TRANSAKSI_LOG!$F$2:$F$998&gt;=$B121),0),0)) &amp; " - " &amp; INDEX(TRANSAKSI_LOG!$H$2:$H$998,MATCH(1,INDEX((TRANSAKSI_LOG!$C$2:$C$998=$C$5)*(TRANSAKSI_LOG!$J$2:$J$998=H$7)*(TRANSAKSI_LOG!$E$2:$E$998&lt;=$B121)*(TRANSAKSI_LOG!$F$2:$F$998&gt;=$B121),0),0)),"")</f>
        <v/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13">
        <v>0.7291666666666666</v>
      </c>
      <c r="C122" s="66" t="str">
        <f t="array" ref="C122">IFERROR(INDEX(TRANSAKSI_LOG!$M$2:$M$998,MATCH(1,INDEX((TRANSAKSI_LOG!$C$2:$C$998=$C$5)*(TRANSAKSI_LOG!$J$2:$J$998=C$7)*(TRANSAKSI_LOG!$E$2:$E$998&lt;=$B122)*(TRANSAKSI_LOG!$F$2:$F$998&gt;=$B122),0),0)) &amp; " - " &amp; INDEX(TRANSAKSI_LOG!$H$2:$H$998,MATCH(1,INDEX((TRANSAKSI_LOG!$C$2:$C$998=$C$5)*(TRANSAKSI_LOG!$J$2:$J$998=C$7)*(TRANSAKSI_LOG!$E$2:$E$998&lt;=$B122)*(TRANSAKSI_LOG!$F$2:$F$998&gt;=$B122),0),0)),"")</f>
        <v/>
      </c>
      <c r="D122" s="66" t="str">
        <f t="array" ref="D122">IFERROR(INDEX(TRANSAKSI_LOG!$M$2:$M$998,MATCH(1,INDEX((TRANSAKSI_LOG!$C$2:$C$998=$C$5)*(TRANSAKSI_LOG!$J$2:$J$998=D$7)*(TRANSAKSI_LOG!$E$2:$E$998&lt;=$B122)*(TRANSAKSI_LOG!$F$2:$F$998&gt;=$B122),0),0)) &amp; " - " &amp; INDEX(TRANSAKSI_LOG!$H$2:$H$998,MATCH(1,INDEX((TRANSAKSI_LOG!$C$2:$C$998=$C$5)*(TRANSAKSI_LOG!$J$2:$J$998=D$7)*(TRANSAKSI_LOG!$E$2:$E$998&lt;=$B122)*(TRANSAKSI_LOG!$F$2:$F$998&gt;=$B122),0),0)),"")</f>
        <v/>
      </c>
      <c r="E122" s="66" t="str">
        <f t="array" ref="E122">IFERROR(INDEX(TRANSAKSI_LOG!$M$2:$M$998,MATCH(1,INDEX((TRANSAKSI_LOG!$C$2:$C$998=$C$5)*(TRANSAKSI_LOG!$J$2:$J$998=E$7)*(TRANSAKSI_LOG!$E$2:$E$998&lt;=$B122)*(TRANSAKSI_LOG!$F$2:$F$998&gt;=$B122),0),0)) &amp; " - " &amp; INDEX(TRANSAKSI_LOG!$H$2:$H$998,MATCH(1,INDEX((TRANSAKSI_LOG!$C$2:$C$998=$C$5)*(TRANSAKSI_LOG!$J$2:$J$998=E$7)*(TRANSAKSI_LOG!$E$2:$E$998&lt;=$B122)*(TRANSAKSI_LOG!$F$2:$F$998&gt;=$B122),0),0)),"")</f>
        <v/>
      </c>
      <c r="F122" s="66" t="str">
        <f t="array" ref="F122">IFERROR(INDEX(TRANSAKSI_LOG!$M$2:$M$998,MATCH(1,INDEX((TRANSAKSI_LOG!$C$2:$C$998=$C$5)*(TRANSAKSI_LOG!$J$2:$J$998=F$7)*(TRANSAKSI_LOG!$E$2:$E$998&lt;=$B122)*(TRANSAKSI_LOG!$F$2:$F$998&gt;=$B122),0),0)) &amp; " - " &amp; INDEX(TRANSAKSI_LOG!$H$2:$H$998,MATCH(1,INDEX((TRANSAKSI_LOG!$C$2:$C$998=$C$5)*(TRANSAKSI_LOG!$J$2:$J$998=F$7)*(TRANSAKSI_LOG!$E$2:$E$998&lt;=$B122)*(TRANSAKSI_LOG!$F$2:$F$998&gt;=$B122),0),0)),"")</f>
        <v/>
      </c>
      <c r="G122" s="66" t="str">
        <f t="array" ref="G122">IFERROR(INDEX(TRANSAKSI_LOG!$M$2:$M$998,MATCH(1,INDEX((TRANSAKSI_LOG!$C$2:$C$998=$C$5)*(TRANSAKSI_LOG!$J$2:$J$998=G$7)*(TRANSAKSI_LOG!$E$2:$E$998&lt;=$B122)*(TRANSAKSI_LOG!$F$2:$F$998&gt;=$B122),0),0)) &amp; " - " &amp; INDEX(TRANSAKSI_LOG!$H$2:$H$998,MATCH(1,INDEX((TRANSAKSI_LOG!$C$2:$C$998=$C$5)*(TRANSAKSI_LOG!$J$2:$J$998=G$7)*(TRANSAKSI_LOG!$E$2:$E$998&lt;=$B122)*(TRANSAKSI_LOG!$F$2:$F$998&gt;=$B122),0),0)),"")</f>
        <v/>
      </c>
      <c r="H122" s="66" t="str">
        <f t="array" ref="H122">IFERROR(INDEX(TRANSAKSI_LOG!$M$2:$M$998,MATCH(1,INDEX((TRANSAKSI_LOG!$C$2:$C$998=$C$5)*(TRANSAKSI_LOG!$J$2:$J$998=H$7)*(TRANSAKSI_LOG!$E$2:$E$998&lt;=$B122)*(TRANSAKSI_LOG!$F$2:$F$998&gt;=$B122),0),0)) &amp; " - " &amp; INDEX(TRANSAKSI_LOG!$H$2:$H$998,MATCH(1,INDEX((TRANSAKSI_LOG!$C$2:$C$998=$C$5)*(TRANSAKSI_LOG!$J$2:$J$998=H$7)*(TRANSAKSI_LOG!$E$2:$E$998&lt;=$B122)*(TRANSAKSI_LOG!$F$2:$F$998&gt;=$B122),0),0)),"")</f>
        <v/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13">
        <v>0.7326388888888888</v>
      </c>
      <c r="C123" s="66" t="str">
        <f t="array" ref="C123">IFERROR(INDEX(TRANSAKSI_LOG!$M$2:$M$998,MATCH(1,INDEX((TRANSAKSI_LOG!$C$2:$C$998=$C$5)*(TRANSAKSI_LOG!$J$2:$J$998=C$7)*(TRANSAKSI_LOG!$E$2:$E$998&lt;=$B123)*(TRANSAKSI_LOG!$F$2:$F$998&gt;=$B123),0),0)) &amp; " - " &amp; INDEX(TRANSAKSI_LOG!$H$2:$H$998,MATCH(1,INDEX((TRANSAKSI_LOG!$C$2:$C$998=$C$5)*(TRANSAKSI_LOG!$J$2:$J$998=C$7)*(TRANSAKSI_LOG!$E$2:$E$998&lt;=$B123)*(TRANSAKSI_LOG!$F$2:$F$998&gt;=$B123),0),0)),"")</f>
        <v/>
      </c>
      <c r="D123" s="66" t="str">
        <f t="array" ref="D123">IFERROR(INDEX(TRANSAKSI_LOG!$M$2:$M$998,MATCH(1,INDEX((TRANSAKSI_LOG!$C$2:$C$998=$C$5)*(TRANSAKSI_LOG!$J$2:$J$998=D$7)*(TRANSAKSI_LOG!$E$2:$E$998&lt;=$B123)*(TRANSAKSI_LOG!$F$2:$F$998&gt;=$B123),0),0)) &amp; " - " &amp; INDEX(TRANSAKSI_LOG!$H$2:$H$998,MATCH(1,INDEX((TRANSAKSI_LOG!$C$2:$C$998=$C$5)*(TRANSAKSI_LOG!$J$2:$J$998=D$7)*(TRANSAKSI_LOG!$E$2:$E$998&lt;=$B123)*(TRANSAKSI_LOG!$F$2:$F$998&gt;=$B123),0),0)),"")</f>
        <v/>
      </c>
      <c r="E123" s="66" t="str">
        <f t="array" ref="E123">IFERROR(INDEX(TRANSAKSI_LOG!$M$2:$M$998,MATCH(1,INDEX((TRANSAKSI_LOG!$C$2:$C$998=$C$5)*(TRANSAKSI_LOG!$J$2:$J$998=E$7)*(TRANSAKSI_LOG!$E$2:$E$998&lt;=$B123)*(TRANSAKSI_LOG!$F$2:$F$998&gt;=$B123),0),0)) &amp; " - " &amp; INDEX(TRANSAKSI_LOG!$H$2:$H$998,MATCH(1,INDEX((TRANSAKSI_LOG!$C$2:$C$998=$C$5)*(TRANSAKSI_LOG!$J$2:$J$998=E$7)*(TRANSAKSI_LOG!$E$2:$E$998&lt;=$B123)*(TRANSAKSI_LOG!$F$2:$F$998&gt;=$B123),0),0)),"")</f>
        <v/>
      </c>
      <c r="F123" s="66" t="str">
        <f t="array" ref="F123">IFERROR(INDEX(TRANSAKSI_LOG!$M$2:$M$998,MATCH(1,INDEX((TRANSAKSI_LOG!$C$2:$C$998=$C$5)*(TRANSAKSI_LOG!$J$2:$J$998=F$7)*(TRANSAKSI_LOG!$E$2:$E$998&lt;=$B123)*(TRANSAKSI_LOG!$F$2:$F$998&gt;=$B123),0),0)) &amp; " - " &amp; INDEX(TRANSAKSI_LOG!$H$2:$H$998,MATCH(1,INDEX((TRANSAKSI_LOG!$C$2:$C$998=$C$5)*(TRANSAKSI_LOG!$J$2:$J$998=F$7)*(TRANSAKSI_LOG!$E$2:$E$998&lt;=$B123)*(TRANSAKSI_LOG!$F$2:$F$998&gt;=$B123),0),0)),"")</f>
        <v/>
      </c>
      <c r="G123" s="66" t="str">
        <f t="array" ref="G123">IFERROR(INDEX(TRANSAKSI_LOG!$M$2:$M$998,MATCH(1,INDEX((TRANSAKSI_LOG!$C$2:$C$998=$C$5)*(TRANSAKSI_LOG!$J$2:$J$998=G$7)*(TRANSAKSI_LOG!$E$2:$E$998&lt;=$B123)*(TRANSAKSI_LOG!$F$2:$F$998&gt;=$B123),0),0)) &amp; " - " &amp; INDEX(TRANSAKSI_LOG!$H$2:$H$998,MATCH(1,INDEX((TRANSAKSI_LOG!$C$2:$C$998=$C$5)*(TRANSAKSI_LOG!$J$2:$J$998=G$7)*(TRANSAKSI_LOG!$E$2:$E$998&lt;=$B123)*(TRANSAKSI_LOG!$F$2:$F$998&gt;=$B123),0),0)),"")</f>
        <v/>
      </c>
      <c r="H123" s="66" t="str">
        <f t="array" ref="H123">IFERROR(INDEX(TRANSAKSI_LOG!$M$2:$M$998,MATCH(1,INDEX((TRANSAKSI_LOG!$C$2:$C$998=$C$5)*(TRANSAKSI_LOG!$J$2:$J$998=H$7)*(TRANSAKSI_LOG!$E$2:$E$998&lt;=$B123)*(TRANSAKSI_LOG!$F$2:$F$998&gt;=$B123),0),0)) &amp; " - " &amp; INDEX(TRANSAKSI_LOG!$H$2:$H$998,MATCH(1,INDEX((TRANSAKSI_LOG!$C$2:$C$998=$C$5)*(TRANSAKSI_LOG!$J$2:$J$998=H$7)*(TRANSAKSI_LOG!$E$2:$E$998&lt;=$B123)*(TRANSAKSI_LOG!$F$2:$F$998&gt;=$B123),0),0)),"")</f>
        <v/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13">
        <v>0.7361111111111112</v>
      </c>
      <c r="C124" s="66" t="str">
        <f t="array" ref="C124">IFERROR(INDEX(TRANSAKSI_LOG!$M$2:$M$998,MATCH(1,INDEX((TRANSAKSI_LOG!$C$2:$C$998=$C$5)*(TRANSAKSI_LOG!$J$2:$J$998=C$7)*(TRANSAKSI_LOG!$E$2:$E$998&lt;=$B124)*(TRANSAKSI_LOG!$F$2:$F$998&gt;=$B124),0),0)) &amp; " - " &amp; INDEX(TRANSAKSI_LOG!$H$2:$H$998,MATCH(1,INDEX((TRANSAKSI_LOG!$C$2:$C$998=$C$5)*(TRANSAKSI_LOG!$J$2:$J$998=C$7)*(TRANSAKSI_LOG!$E$2:$E$998&lt;=$B124)*(TRANSAKSI_LOG!$F$2:$F$998&gt;=$B124),0),0)),"")</f>
        <v/>
      </c>
      <c r="D124" s="66" t="str">
        <f t="array" ref="D124">IFERROR(INDEX(TRANSAKSI_LOG!$M$2:$M$998,MATCH(1,INDEX((TRANSAKSI_LOG!$C$2:$C$998=$C$5)*(TRANSAKSI_LOG!$J$2:$J$998=D$7)*(TRANSAKSI_LOG!$E$2:$E$998&lt;=$B124)*(TRANSAKSI_LOG!$F$2:$F$998&gt;=$B124),0),0)) &amp; " - " &amp; INDEX(TRANSAKSI_LOG!$H$2:$H$998,MATCH(1,INDEX((TRANSAKSI_LOG!$C$2:$C$998=$C$5)*(TRANSAKSI_LOG!$J$2:$J$998=D$7)*(TRANSAKSI_LOG!$E$2:$E$998&lt;=$B124)*(TRANSAKSI_LOG!$F$2:$F$998&gt;=$B124),0),0)),"")</f>
        <v/>
      </c>
      <c r="E124" s="66" t="str">
        <f t="array" ref="E124">IFERROR(INDEX(TRANSAKSI_LOG!$M$2:$M$998,MATCH(1,INDEX((TRANSAKSI_LOG!$C$2:$C$998=$C$5)*(TRANSAKSI_LOG!$J$2:$J$998=E$7)*(TRANSAKSI_LOG!$E$2:$E$998&lt;=$B124)*(TRANSAKSI_LOG!$F$2:$F$998&gt;=$B124),0),0)) &amp; " - " &amp; INDEX(TRANSAKSI_LOG!$H$2:$H$998,MATCH(1,INDEX((TRANSAKSI_LOG!$C$2:$C$998=$C$5)*(TRANSAKSI_LOG!$J$2:$J$998=E$7)*(TRANSAKSI_LOG!$E$2:$E$998&lt;=$B124)*(TRANSAKSI_LOG!$F$2:$F$998&gt;=$B124),0),0)),"")</f>
        <v/>
      </c>
      <c r="F124" s="66" t="str">
        <f t="array" ref="F124">IFERROR(INDEX(TRANSAKSI_LOG!$M$2:$M$998,MATCH(1,INDEX((TRANSAKSI_LOG!$C$2:$C$998=$C$5)*(TRANSAKSI_LOG!$J$2:$J$998=F$7)*(TRANSAKSI_LOG!$E$2:$E$998&lt;=$B124)*(TRANSAKSI_LOG!$F$2:$F$998&gt;=$B124),0),0)) &amp; " - " &amp; INDEX(TRANSAKSI_LOG!$H$2:$H$998,MATCH(1,INDEX((TRANSAKSI_LOG!$C$2:$C$998=$C$5)*(TRANSAKSI_LOG!$J$2:$J$998=F$7)*(TRANSAKSI_LOG!$E$2:$E$998&lt;=$B124)*(TRANSAKSI_LOG!$F$2:$F$998&gt;=$B124),0),0)),"")</f>
        <v/>
      </c>
      <c r="G124" s="66" t="str">
        <f t="array" ref="G124">IFERROR(INDEX(TRANSAKSI_LOG!$M$2:$M$998,MATCH(1,INDEX((TRANSAKSI_LOG!$C$2:$C$998=$C$5)*(TRANSAKSI_LOG!$J$2:$J$998=G$7)*(TRANSAKSI_LOG!$E$2:$E$998&lt;=$B124)*(TRANSAKSI_LOG!$F$2:$F$998&gt;=$B124),0),0)) &amp; " - " &amp; INDEX(TRANSAKSI_LOG!$H$2:$H$998,MATCH(1,INDEX((TRANSAKSI_LOG!$C$2:$C$998=$C$5)*(TRANSAKSI_LOG!$J$2:$J$998=G$7)*(TRANSAKSI_LOG!$E$2:$E$998&lt;=$B124)*(TRANSAKSI_LOG!$F$2:$F$998&gt;=$B124),0),0)),"")</f>
        <v/>
      </c>
      <c r="H124" s="66" t="str">
        <f t="array" ref="H124">IFERROR(INDEX(TRANSAKSI_LOG!$M$2:$M$998,MATCH(1,INDEX((TRANSAKSI_LOG!$C$2:$C$998=$C$5)*(TRANSAKSI_LOG!$J$2:$J$998=H$7)*(TRANSAKSI_LOG!$E$2:$E$998&lt;=$B124)*(TRANSAKSI_LOG!$F$2:$F$998&gt;=$B124),0),0)) &amp; " - " &amp; INDEX(TRANSAKSI_LOG!$H$2:$H$998,MATCH(1,INDEX((TRANSAKSI_LOG!$C$2:$C$998=$C$5)*(TRANSAKSI_LOG!$J$2:$J$998=H$7)*(TRANSAKSI_LOG!$E$2:$E$998&lt;=$B124)*(TRANSAKSI_LOG!$F$2:$F$998&gt;=$B124),0),0)),"")</f>
        <v/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13">
        <v>0.7395833333333334</v>
      </c>
      <c r="C125" s="66" t="str">
        <f t="array" ref="C125">IFERROR(INDEX(TRANSAKSI_LOG!$M$2:$M$998,MATCH(1,INDEX((TRANSAKSI_LOG!$C$2:$C$998=$C$5)*(TRANSAKSI_LOG!$J$2:$J$998=C$7)*(TRANSAKSI_LOG!$E$2:$E$998&lt;=$B125)*(TRANSAKSI_LOG!$F$2:$F$998&gt;=$B125),0),0)) &amp; " - " &amp; INDEX(TRANSAKSI_LOG!$H$2:$H$998,MATCH(1,INDEX((TRANSAKSI_LOG!$C$2:$C$998=$C$5)*(TRANSAKSI_LOG!$J$2:$J$998=C$7)*(TRANSAKSI_LOG!$E$2:$E$998&lt;=$B125)*(TRANSAKSI_LOG!$F$2:$F$998&gt;=$B125),0),0)),"")</f>
        <v/>
      </c>
      <c r="D125" s="66" t="str">
        <f t="array" ref="D125">IFERROR(INDEX(TRANSAKSI_LOG!$M$2:$M$998,MATCH(1,INDEX((TRANSAKSI_LOG!$C$2:$C$998=$C$5)*(TRANSAKSI_LOG!$J$2:$J$998=D$7)*(TRANSAKSI_LOG!$E$2:$E$998&lt;=$B125)*(TRANSAKSI_LOG!$F$2:$F$998&gt;=$B125),0),0)) &amp; " - " &amp; INDEX(TRANSAKSI_LOG!$H$2:$H$998,MATCH(1,INDEX((TRANSAKSI_LOG!$C$2:$C$998=$C$5)*(TRANSAKSI_LOG!$J$2:$J$998=D$7)*(TRANSAKSI_LOG!$E$2:$E$998&lt;=$B125)*(TRANSAKSI_LOG!$F$2:$F$998&gt;=$B125),0),0)),"")</f>
        <v/>
      </c>
      <c r="E125" s="66" t="str">
        <f t="array" ref="E125">IFERROR(INDEX(TRANSAKSI_LOG!$M$2:$M$998,MATCH(1,INDEX((TRANSAKSI_LOG!$C$2:$C$998=$C$5)*(TRANSAKSI_LOG!$J$2:$J$998=E$7)*(TRANSAKSI_LOG!$E$2:$E$998&lt;=$B125)*(TRANSAKSI_LOG!$F$2:$F$998&gt;=$B125),0),0)) &amp; " - " &amp; INDEX(TRANSAKSI_LOG!$H$2:$H$998,MATCH(1,INDEX((TRANSAKSI_LOG!$C$2:$C$998=$C$5)*(TRANSAKSI_LOG!$J$2:$J$998=E$7)*(TRANSAKSI_LOG!$E$2:$E$998&lt;=$B125)*(TRANSAKSI_LOG!$F$2:$F$998&gt;=$B125),0),0)),"")</f>
        <v/>
      </c>
      <c r="F125" s="66" t="str">
        <f t="array" ref="F125">IFERROR(INDEX(TRANSAKSI_LOG!$M$2:$M$998,MATCH(1,INDEX((TRANSAKSI_LOG!$C$2:$C$998=$C$5)*(TRANSAKSI_LOG!$J$2:$J$998=F$7)*(TRANSAKSI_LOG!$E$2:$E$998&lt;=$B125)*(TRANSAKSI_LOG!$F$2:$F$998&gt;=$B125),0),0)) &amp; " - " &amp; INDEX(TRANSAKSI_LOG!$H$2:$H$998,MATCH(1,INDEX((TRANSAKSI_LOG!$C$2:$C$998=$C$5)*(TRANSAKSI_LOG!$J$2:$J$998=F$7)*(TRANSAKSI_LOG!$E$2:$E$998&lt;=$B125)*(TRANSAKSI_LOG!$F$2:$F$998&gt;=$B125),0),0)),"")</f>
        <v/>
      </c>
      <c r="G125" s="66" t="str">
        <f t="array" ref="G125">IFERROR(INDEX(TRANSAKSI_LOG!$M$2:$M$998,MATCH(1,INDEX((TRANSAKSI_LOG!$C$2:$C$998=$C$5)*(TRANSAKSI_LOG!$J$2:$J$998=G$7)*(TRANSAKSI_LOG!$E$2:$E$998&lt;=$B125)*(TRANSAKSI_LOG!$F$2:$F$998&gt;=$B125),0),0)) &amp; " - " &amp; INDEX(TRANSAKSI_LOG!$H$2:$H$998,MATCH(1,INDEX((TRANSAKSI_LOG!$C$2:$C$998=$C$5)*(TRANSAKSI_LOG!$J$2:$J$998=G$7)*(TRANSAKSI_LOG!$E$2:$E$998&lt;=$B125)*(TRANSAKSI_LOG!$F$2:$F$998&gt;=$B125),0),0)),"")</f>
        <v/>
      </c>
      <c r="H125" s="66" t="str">
        <f t="array" ref="H125">IFERROR(INDEX(TRANSAKSI_LOG!$M$2:$M$998,MATCH(1,INDEX((TRANSAKSI_LOG!$C$2:$C$998=$C$5)*(TRANSAKSI_LOG!$J$2:$J$998=H$7)*(TRANSAKSI_LOG!$E$2:$E$998&lt;=$B125)*(TRANSAKSI_LOG!$F$2:$F$998&gt;=$B125),0),0)) &amp; " - " &amp; INDEX(TRANSAKSI_LOG!$H$2:$H$998,MATCH(1,INDEX((TRANSAKSI_LOG!$C$2:$C$998=$C$5)*(TRANSAKSI_LOG!$J$2:$J$998=H$7)*(TRANSAKSI_LOG!$E$2:$E$998&lt;=$B125)*(TRANSAKSI_LOG!$F$2:$F$998&gt;=$B125),0),0)),"")</f>
        <v/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13">
        <v>0.7430555555555556</v>
      </c>
      <c r="C126" s="66" t="str">
        <f t="array" ref="C126">IFERROR(INDEX(TRANSAKSI_LOG!$M$2:$M$998,MATCH(1,INDEX((TRANSAKSI_LOG!$C$2:$C$998=$C$5)*(TRANSAKSI_LOG!$J$2:$J$998=C$7)*(TRANSAKSI_LOG!$E$2:$E$998&lt;=$B126)*(TRANSAKSI_LOG!$F$2:$F$998&gt;=$B126),0),0)) &amp; " - " &amp; INDEX(TRANSAKSI_LOG!$H$2:$H$998,MATCH(1,INDEX((TRANSAKSI_LOG!$C$2:$C$998=$C$5)*(TRANSAKSI_LOG!$J$2:$J$998=C$7)*(TRANSAKSI_LOG!$E$2:$E$998&lt;=$B126)*(TRANSAKSI_LOG!$F$2:$F$998&gt;=$B126),0),0)),"")</f>
        <v/>
      </c>
      <c r="D126" s="66" t="str">
        <f t="array" ref="D126">IFERROR(INDEX(TRANSAKSI_LOG!$M$2:$M$998,MATCH(1,INDEX((TRANSAKSI_LOG!$C$2:$C$998=$C$5)*(TRANSAKSI_LOG!$J$2:$J$998=D$7)*(TRANSAKSI_LOG!$E$2:$E$998&lt;=$B126)*(TRANSAKSI_LOG!$F$2:$F$998&gt;=$B126),0),0)) &amp; " - " &amp; INDEX(TRANSAKSI_LOG!$H$2:$H$998,MATCH(1,INDEX((TRANSAKSI_LOG!$C$2:$C$998=$C$5)*(TRANSAKSI_LOG!$J$2:$J$998=D$7)*(TRANSAKSI_LOG!$E$2:$E$998&lt;=$B126)*(TRANSAKSI_LOG!$F$2:$F$998&gt;=$B126),0),0)),"")</f>
        <v/>
      </c>
      <c r="E126" s="66" t="str">
        <f t="array" ref="E126">IFERROR(INDEX(TRANSAKSI_LOG!$M$2:$M$998,MATCH(1,INDEX((TRANSAKSI_LOG!$C$2:$C$998=$C$5)*(TRANSAKSI_LOG!$J$2:$J$998=E$7)*(TRANSAKSI_LOG!$E$2:$E$998&lt;=$B126)*(TRANSAKSI_LOG!$F$2:$F$998&gt;=$B126),0),0)) &amp; " - " &amp; INDEX(TRANSAKSI_LOG!$H$2:$H$998,MATCH(1,INDEX((TRANSAKSI_LOG!$C$2:$C$998=$C$5)*(TRANSAKSI_LOG!$J$2:$J$998=E$7)*(TRANSAKSI_LOG!$E$2:$E$998&lt;=$B126)*(TRANSAKSI_LOG!$F$2:$F$998&gt;=$B126),0),0)),"")</f>
        <v/>
      </c>
      <c r="F126" s="66" t="str">
        <f t="array" ref="F126">IFERROR(INDEX(TRANSAKSI_LOG!$M$2:$M$998,MATCH(1,INDEX((TRANSAKSI_LOG!$C$2:$C$998=$C$5)*(TRANSAKSI_LOG!$J$2:$J$998=F$7)*(TRANSAKSI_LOG!$E$2:$E$998&lt;=$B126)*(TRANSAKSI_LOG!$F$2:$F$998&gt;=$B126),0),0)) &amp; " - " &amp; INDEX(TRANSAKSI_LOG!$H$2:$H$998,MATCH(1,INDEX((TRANSAKSI_LOG!$C$2:$C$998=$C$5)*(TRANSAKSI_LOG!$J$2:$J$998=F$7)*(TRANSAKSI_LOG!$E$2:$E$998&lt;=$B126)*(TRANSAKSI_LOG!$F$2:$F$998&gt;=$B126),0),0)),"")</f>
        <v/>
      </c>
      <c r="G126" s="66" t="str">
        <f t="array" ref="G126">IFERROR(INDEX(TRANSAKSI_LOG!$M$2:$M$998,MATCH(1,INDEX((TRANSAKSI_LOG!$C$2:$C$998=$C$5)*(TRANSAKSI_LOG!$J$2:$J$998=G$7)*(TRANSAKSI_LOG!$E$2:$E$998&lt;=$B126)*(TRANSAKSI_LOG!$F$2:$F$998&gt;=$B126),0),0)) &amp; " - " &amp; INDEX(TRANSAKSI_LOG!$H$2:$H$998,MATCH(1,INDEX((TRANSAKSI_LOG!$C$2:$C$998=$C$5)*(TRANSAKSI_LOG!$J$2:$J$998=G$7)*(TRANSAKSI_LOG!$E$2:$E$998&lt;=$B126)*(TRANSAKSI_LOG!$F$2:$F$998&gt;=$B126),0),0)),"")</f>
        <v/>
      </c>
      <c r="H126" s="66" t="str">
        <f t="array" ref="H126">IFERROR(INDEX(TRANSAKSI_LOG!$M$2:$M$998,MATCH(1,INDEX((TRANSAKSI_LOG!$C$2:$C$998=$C$5)*(TRANSAKSI_LOG!$J$2:$J$998=H$7)*(TRANSAKSI_LOG!$E$2:$E$998&lt;=$B126)*(TRANSAKSI_LOG!$F$2:$F$998&gt;=$B126),0),0)) &amp; " - " &amp; INDEX(TRANSAKSI_LOG!$H$2:$H$998,MATCH(1,INDEX((TRANSAKSI_LOG!$C$2:$C$998=$C$5)*(TRANSAKSI_LOG!$J$2:$J$998=H$7)*(TRANSAKSI_LOG!$E$2:$E$998&lt;=$B126)*(TRANSAKSI_LOG!$F$2:$F$998&gt;=$B126),0),0)),"")</f>
        <v/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13">
        <v>0.7465277777777778</v>
      </c>
      <c r="C127" s="66" t="str">
        <f t="array" ref="C127">IFERROR(INDEX(TRANSAKSI_LOG!$M$2:$M$998,MATCH(1,INDEX((TRANSAKSI_LOG!$C$2:$C$998=$C$5)*(TRANSAKSI_LOG!$J$2:$J$998=C$7)*(TRANSAKSI_LOG!$E$2:$E$998&lt;=$B127)*(TRANSAKSI_LOG!$F$2:$F$998&gt;=$B127),0),0)) &amp; " - " &amp; INDEX(TRANSAKSI_LOG!$H$2:$H$998,MATCH(1,INDEX((TRANSAKSI_LOG!$C$2:$C$998=$C$5)*(TRANSAKSI_LOG!$J$2:$J$998=C$7)*(TRANSAKSI_LOG!$E$2:$E$998&lt;=$B127)*(TRANSAKSI_LOG!$F$2:$F$998&gt;=$B127),0),0)),"")</f>
        <v/>
      </c>
      <c r="D127" s="66" t="str">
        <f t="array" ref="D127">IFERROR(INDEX(TRANSAKSI_LOG!$M$2:$M$998,MATCH(1,INDEX((TRANSAKSI_LOG!$C$2:$C$998=$C$5)*(TRANSAKSI_LOG!$J$2:$J$998=D$7)*(TRANSAKSI_LOG!$E$2:$E$998&lt;=$B127)*(TRANSAKSI_LOG!$F$2:$F$998&gt;=$B127),0),0)) &amp; " - " &amp; INDEX(TRANSAKSI_LOG!$H$2:$H$998,MATCH(1,INDEX((TRANSAKSI_LOG!$C$2:$C$998=$C$5)*(TRANSAKSI_LOG!$J$2:$J$998=D$7)*(TRANSAKSI_LOG!$E$2:$E$998&lt;=$B127)*(TRANSAKSI_LOG!$F$2:$F$998&gt;=$B127),0),0)),"")</f>
        <v/>
      </c>
      <c r="E127" s="66" t="str">
        <f t="array" ref="E127">IFERROR(INDEX(TRANSAKSI_LOG!$M$2:$M$998,MATCH(1,INDEX((TRANSAKSI_LOG!$C$2:$C$998=$C$5)*(TRANSAKSI_LOG!$J$2:$J$998=E$7)*(TRANSAKSI_LOG!$E$2:$E$998&lt;=$B127)*(TRANSAKSI_LOG!$F$2:$F$998&gt;=$B127),0),0)) &amp; " - " &amp; INDEX(TRANSAKSI_LOG!$H$2:$H$998,MATCH(1,INDEX((TRANSAKSI_LOG!$C$2:$C$998=$C$5)*(TRANSAKSI_LOG!$J$2:$J$998=E$7)*(TRANSAKSI_LOG!$E$2:$E$998&lt;=$B127)*(TRANSAKSI_LOG!$F$2:$F$998&gt;=$B127),0),0)),"")</f>
        <v/>
      </c>
      <c r="F127" s="66" t="str">
        <f t="array" ref="F127">IFERROR(INDEX(TRANSAKSI_LOG!$M$2:$M$998,MATCH(1,INDEX((TRANSAKSI_LOG!$C$2:$C$998=$C$5)*(TRANSAKSI_LOG!$J$2:$J$998=F$7)*(TRANSAKSI_LOG!$E$2:$E$998&lt;=$B127)*(TRANSAKSI_LOG!$F$2:$F$998&gt;=$B127),0),0)) &amp; " - " &amp; INDEX(TRANSAKSI_LOG!$H$2:$H$998,MATCH(1,INDEX((TRANSAKSI_LOG!$C$2:$C$998=$C$5)*(TRANSAKSI_LOG!$J$2:$J$998=F$7)*(TRANSAKSI_LOG!$E$2:$E$998&lt;=$B127)*(TRANSAKSI_LOG!$F$2:$F$998&gt;=$B127),0),0)),"")</f>
        <v/>
      </c>
      <c r="G127" s="66" t="str">
        <f t="array" ref="G127">IFERROR(INDEX(TRANSAKSI_LOG!$M$2:$M$998,MATCH(1,INDEX((TRANSAKSI_LOG!$C$2:$C$998=$C$5)*(TRANSAKSI_LOG!$J$2:$J$998=G$7)*(TRANSAKSI_LOG!$E$2:$E$998&lt;=$B127)*(TRANSAKSI_LOG!$F$2:$F$998&gt;=$B127),0),0)) &amp; " - " &amp; INDEX(TRANSAKSI_LOG!$H$2:$H$998,MATCH(1,INDEX((TRANSAKSI_LOG!$C$2:$C$998=$C$5)*(TRANSAKSI_LOG!$J$2:$J$998=G$7)*(TRANSAKSI_LOG!$E$2:$E$998&lt;=$B127)*(TRANSAKSI_LOG!$F$2:$F$998&gt;=$B127),0),0)),"")</f>
        <v/>
      </c>
      <c r="H127" s="66" t="str">
        <f t="array" ref="H127">IFERROR(INDEX(TRANSAKSI_LOG!$M$2:$M$998,MATCH(1,INDEX((TRANSAKSI_LOG!$C$2:$C$998=$C$5)*(TRANSAKSI_LOG!$J$2:$J$998=H$7)*(TRANSAKSI_LOG!$E$2:$E$998&lt;=$B127)*(TRANSAKSI_LOG!$F$2:$F$998&gt;=$B127),0),0)) &amp; " - " &amp; INDEX(TRANSAKSI_LOG!$H$2:$H$998,MATCH(1,INDEX((TRANSAKSI_LOG!$C$2:$C$998=$C$5)*(TRANSAKSI_LOG!$J$2:$J$998=H$7)*(TRANSAKSI_LOG!$E$2:$E$998&lt;=$B127)*(TRANSAKSI_LOG!$F$2:$F$998&gt;=$B127),0),0)),"")</f>
        <v/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13">
        <v>0.75</v>
      </c>
      <c r="C128" s="66" t="str">
        <f t="array" ref="C128">IFERROR(INDEX(TRANSAKSI_LOG!$M$2:$M$998,MATCH(1,INDEX((TRANSAKSI_LOG!$C$2:$C$998=$C$5)*(TRANSAKSI_LOG!$J$2:$J$998=C$7)*(TRANSAKSI_LOG!$E$2:$E$998&lt;=$B128)*(TRANSAKSI_LOG!$F$2:$F$998&gt;=$B128),0),0)) &amp; " - " &amp; INDEX(TRANSAKSI_LOG!$H$2:$H$998,MATCH(1,INDEX((TRANSAKSI_LOG!$C$2:$C$998=$C$5)*(TRANSAKSI_LOG!$J$2:$J$998=C$7)*(TRANSAKSI_LOG!$E$2:$E$998&lt;=$B128)*(TRANSAKSI_LOG!$F$2:$F$998&gt;=$B128),0),0)),"")</f>
        <v/>
      </c>
      <c r="D128" s="66" t="str">
        <f t="array" ref="D128">IFERROR(INDEX(TRANSAKSI_LOG!$M$2:$M$998,MATCH(1,INDEX((TRANSAKSI_LOG!$C$2:$C$998=$C$5)*(TRANSAKSI_LOG!$J$2:$J$998=D$7)*(TRANSAKSI_LOG!$E$2:$E$998&lt;=$B128)*(TRANSAKSI_LOG!$F$2:$F$998&gt;=$B128),0),0)) &amp; " - " &amp; INDEX(TRANSAKSI_LOG!$H$2:$H$998,MATCH(1,INDEX((TRANSAKSI_LOG!$C$2:$C$998=$C$5)*(TRANSAKSI_LOG!$J$2:$J$998=D$7)*(TRANSAKSI_LOG!$E$2:$E$998&lt;=$B128)*(TRANSAKSI_LOG!$F$2:$F$998&gt;=$B128),0),0)),"")</f>
        <v/>
      </c>
      <c r="E128" s="66" t="str">
        <f t="array" ref="E128">IFERROR(INDEX(TRANSAKSI_LOG!$M$2:$M$998,MATCH(1,INDEX((TRANSAKSI_LOG!$C$2:$C$998=$C$5)*(TRANSAKSI_LOG!$J$2:$J$998=E$7)*(TRANSAKSI_LOG!$E$2:$E$998&lt;=$B128)*(TRANSAKSI_LOG!$F$2:$F$998&gt;=$B128),0),0)) &amp; " - " &amp; INDEX(TRANSAKSI_LOG!$H$2:$H$998,MATCH(1,INDEX((TRANSAKSI_LOG!$C$2:$C$998=$C$5)*(TRANSAKSI_LOG!$J$2:$J$998=E$7)*(TRANSAKSI_LOG!$E$2:$E$998&lt;=$B128)*(TRANSAKSI_LOG!$F$2:$F$998&gt;=$B128),0),0)),"")</f>
        <v/>
      </c>
      <c r="F128" s="66" t="str">
        <f t="array" ref="F128">IFERROR(INDEX(TRANSAKSI_LOG!$M$2:$M$998,MATCH(1,INDEX((TRANSAKSI_LOG!$C$2:$C$998=$C$5)*(TRANSAKSI_LOG!$J$2:$J$998=F$7)*(TRANSAKSI_LOG!$E$2:$E$998&lt;=$B128)*(TRANSAKSI_LOG!$F$2:$F$998&gt;=$B128),0),0)) &amp; " - " &amp; INDEX(TRANSAKSI_LOG!$H$2:$H$998,MATCH(1,INDEX((TRANSAKSI_LOG!$C$2:$C$998=$C$5)*(TRANSAKSI_LOG!$J$2:$J$998=F$7)*(TRANSAKSI_LOG!$E$2:$E$998&lt;=$B128)*(TRANSAKSI_LOG!$F$2:$F$998&gt;=$B128),0),0)),"")</f>
        <v/>
      </c>
      <c r="G128" s="66" t="str">
        <f t="array" ref="G128">IFERROR(INDEX(TRANSAKSI_LOG!$M$2:$M$998,MATCH(1,INDEX((TRANSAKSI_LOG!$C$2:$C$998=$C$5)*(TRANSAKSI_LOG!$J$2:$J$998=G$7)*(TRANSAKSI_LOG!$E$2:$E$998&lt;=$B128)*(TRANSAKSI_LOG!$F$2:$F$998&gt;=$B128),0),0)) &amp; " - " &amp; INDEX(TRANSAKSI_LOG!$H$2:$H$998,MATCH(1,INDEX((TRANSAKSI_LOG!$C$2:$C$998=$C$5)*(TRANSAKSI_LOG!$J$2:$J$998=G$7)*(TRANSAKSI_LOG!$E$2:$E$998&lt;=$B128)*(TRANSAKSI_LOG!$F$2:$F$998&gt;=$B128),0),0)),"")</f>
        <v/>
      </c>
      <c r="H128" s="66" t="str">
        <f t="array" ref="H128">IFERROR(INDEX(TRANSAKSI_LOG!$M$2:$M$998,MATCH(1,INDEX((TRANSAKSI_LOG!$C$2:$C$998=$C$5)*(TRANSAKSI_LOG!$J$2:$J$998=H$7)*(TRANSAKSI_LOG!$E$2:$E$998&lt;=$B128)*(TRANSAKSI_LOG!$F$2:$F$998&gt;=$B128),0),0)) &amp; " - " &amp; INDEX(TRANSAKSI_LOG!$H$2:$H$998,MATCH(1,INDEX((TRANSAKSI_LOG!$C$2:$C$998=$C$5)*(TRANSAKSI_LOG!$J$2:$J$998=H$7)*(TRANSAKSI_LOG!$E$2:$E$998&lt;=$B128)*(TRANSAKSI_LOG!$F$2:$F$998&gt;=$B128),0),0)),"")</f>
        <v/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13">
        <v>0.7534722222222222</v>
      </c>
      <c r="C129" s="66" t="str">
        <f t="array" ref="C129">IFERROR(INDEX(TRANSAKSI_LOG!$M$2:$M$998,MATCH(1,INDEX((TRANSAKSI_LOG!$C$2:$C$998=$C$5)*(TRANSAKSI_LOG!$J$2:$J$998=C$7)*(TRANSAKSI_LOG!$E$2:$E$998&lt;=$B129)*(TRANSAKSI_LOG!$F$2:$F$998&gt;=$B129),0),0)) &amp; " - " &amp; INDEX(TRANSAKSI_LOG!$H$2:$H$998,MATCH(1,INDEX((TRANSAKSI_LOG!$C$2:$C$998=$C$5)*(TRANSAKSI_LOG!$J$2:$J$998=C$7)*(TRANSAKSI_LOG!$E$2:$E$998&lt;=$B129)*(TRANSAKSI_LOG!$F$2:$F$998&gt;=$B129),0),0)),"")</f>
        <v/>
      </c>
      <c r="D129" s="66" t="str">
        <f t="array" ref="D129">IFERROR(INDEX(TRANSAKSI_LOG!$M$2:$M$998,MATCH(1,INDEX((TRANSAKSI_LOG!$C$2:$C$998=$C$5)*(TRANSAKSI_LOG!$J$2:$J$998=D$7)*(TRANSAKSI_LOG!$E$2:$E$998&lt;=$B129)*(TRANSAKSI_LOG!$F$2:$F$998&gt;=$B129),0),0)) &amp; " - " &amp; INDEX(TRANSAKSI_LOG!$H$2:$H$998,MATCH(1,INDEX((TRANSAKSI_LOG!$C$2:$C$998=$C$5)*(TRANSAKSI_LOG!$J$2:$J$998=D$7)*(TRANSAKSI_LOG!$E$2:$E$998&lt;=$B129)*(TRANSAKSI_LOG!$F$2:$F$998&gt;=$B129),0),0)),"")</f>
        <v/>
      </c>
      <c r="E129" s="66" t="str">
        <f t="array" ref="E129">IFERROR(INDEX(TRANSAKSI_LOG!$M$2:$M$998,MATCH(1,INDEX((TRANSAKSI_LOG!$C$2:$C$998=$C$5)*(TRANSAKSI_LOG!$J$2:$J$998=E$7)*(TRANSAKSI_LOG!$E$2:$E$998&lt;=$B129)*(TRANSAKSI_LOG!$F$2:$F$998&gt;=$B129),0),0)) &amp; " - " &amp; INDEX(TRANSAKSI_LOG!$H$2:$H$998,MATCH(1,INDEX((TRANSAKSI_LOG!$C$2:$C$998=$C$5)*(TRANSAKSI_LOG!$J$2:$J$998=E$7)*(TRANSAKSI_LOG!$E$2:$E$998&lt;=$B129)*(TRANSAKSI_LOG!$F$2:$F$998&gt;=$B129),0),0)),"")</f>
        <v/>
      </c>
      <c r="F129" s="66" t="str">
        <f t="array" ref="F129">IFERROR(INDEX(TRANSAKSI_LOG!$M$2:$M$998,MATCH(1,INDEX((TRANSAKSI_LOG!$C$2:$C$998=$C$5)*(TRANSAKSI_LOG!$J$2:$J$998=F$7)*(TRANSAKSI_LOG!$E$2:$E$998&lt;=$B129)*(TRANSAKSI_LOG!$F$2:$F$998&gt;=$B129),0),0)) &amp; " - " &amp; INDEX(TRANSAKSI_LOG!$H$2:$H$998,MATCH(1,INDEX((TRANSAKSI_LOG!$C$2:$C$998=$C$5)*(TRANSAKSI_LOG!$J$2:$J$998=F$7)*(TRANSAKSI_LOG!$E$2:$E$998&lt;=$B129)*(TRANSAKSI_LOG!$F$2:$F$998&gt;=$B129),0),0)),"")</f>
        <v/>
      </c>
      <c r="G129" s="66" t="str">
        <f t="array" ref="G129">IFERROR(INDEX(TRANSAKSI_LOG!$M$2:$M$998,MATCH(1,INDEX((TRANSAKSI_LOG!$C$2:$C$998=$C$5)*(TRANSAKSI_LOG!$J$2:$J$998=G$7)*(TRANSAKSI_LOG!$E$2:$E$998&lt;=$B129)*(TRANSAKSI_LOG!$F$2:$F$998&gt;=$B129),0),0)) &amp; " - " &amp; INDEX(TRANSAKSI_LOG!$H$2:$H$998,MATCH(1,INDEX((TRANSAKSI_LOG!$C$2:$C$998=$C$5)*(TRANSAKSI_LOG!$J$2:$J$998=G$7)*(TRANSAKSI_LOG!$E$2:$E$998&lt;=$B129)*(TRANSAKSI_LOG!$F$2:$F$998&gt;=$B129),0),0)),"")</f>
        <v/>
      </c>
      <c r="H129" s="66" t="str">
        <f t="array" ref="H129">IFERROR(INDEX(TRANSAKSI_LOG!$M$2:$M$998,MATCH(1,INDEX((TRANSAKSI_LOG!$C$2:$C$998=$C$5)*(TRANSAKSI_LOG!$J$2:$J$998=H$7)*(TRANSAKSI_LOG!$E$2:$E$998&lt;=$B129)*(TRANSAKSI_LOG!$F$2:$F$998&gt;=$B129),0),0)) &amp; " - " &amp; INDEX(TRANSAKSI_LOG!$H$2:$H$998,MATCH(1,INDEX((TRANSAKSI_LOG!$C$2:$C$998=$C$5)*(TRANSAKSI_LOG!$J$2:$J$998=H$7)*(TRANSAKSI_LOG!$E$2:$E$998&lt;=$B129)*(TRANSAKSI_LOG!$F$2:$F$998&gt;=$B129),0),0)),"")</f>
        <v/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13">
        <v>0.7569444444444444</v>
      </c>
      <c r="C130" s="66" t="str">
        <f t="array" ref="C130">IFERROR(INDEX(TRANSAKSI_LOG!$M$2:$M$998,MATCH(1,INDEX((TRANSAKSI_LOG!$C$2:$C$998=$C$5)*(TRANSAKSI_LOG!$J$2:$J$998=C$7)*(TRANSAKSI_LOG!$E$2:$E$998&lt;=$B130)*(TRANSAKSI_LOG!$F$2:$F$998&gt;=$B130),0),0)) &amp; " - " &amp; INDEX(TRANSAKSI_LOG!$H$2:$H$998,MATCH(1,INDEX((TRANSAKSI_LOG!$C$2:$C$998=$C$5)*(TRANSAKSI_LOG!$J$2:$J$998=C$7)*(TRANSAKSI_LOG!$E$2:$E$998&lt;=$B130)*(TRANSAKSI_LOG!$F$2:$F$998&gt;=$B130),0),0)),"")</f>
        <v/>
      </c>
      <c r="D130" s="66" t="str">
        <f t="array" ref="D130">IFERROR(INDEX(TRANSAKSI_LOG!$M$2:$M$998,MATCH(1,INDEX((TRANSAKSI_LOG!$C$2:$C$998=$C$5)*(TRANSAKSI_LOG!$J$2:$J$998=D$7)*(TRANSAKSI_LOG!$E$2:$E$998&lt;=$B130)*(TRANSAKSI_LOG!$F$2:$F$998&gt;=$B130),0),0)) &amp; " - " &amp; INDEX(TRANSAKSI_LOG!$H$2:$H$998,MATCH(1,INDEX((TRANSAKSI_LOG!$C$2:$C$998=$C$5)*(TRANSAKSI_LOG!$J$2:$J$998=D$7)*(TRANSAKSI_LOG!$E$2:$E$998&lt;=$B130)*(TRANSAKSI_LOG!$F$2:$F$998&gt;=$B130),0),0)),"")</f>
        <v/>
      </c>
      <c r="E130" s="66" t="str">
        <f t="array" ref="E130">IFERROR(INDEX(TRANSAKSI_LOG!$M$2:$M$998,MATCH(1,INDEX((TRANSAKSI_LOG!$C$2:$C$998=$C$5)*(TRANSAKSI_LOG!$J$2:$J$998=E$7)*(TRANSAKSI_LOG!$E$2:$E$998&lt;=$B130)*(TRANSAKSI_LOG!$F$2:$F$998&gt;=$B130),0),0)) &amp; " - " &amp; INDEX(TRANSAKSI_LOG!$H$2:$H$998,MATCH(1,INDEX((TRANSAKSI_LOG!$C$2:$C$998=$C$5)*(TRANSAKSI_LOG!$J$2:$J$998=E$7)*(TRANSAKSI_LOG!$E$2:$E$998&lt;=$B130)*(TRANSAKSI_LOG!$F$2:$F$998&gt;=$B130),0),0)),"")</f>
        <v/>
      </c>
      <c r="F130" s="66" t="str">
        <f t="array" ref="F130">IFERROR(INDEX(TRANSAKSI_LOG!$M$2:$M$998,MATCH(1,INDEX((TRANSAKSI_LOG!$C$2:$C$998=$C$5)*(TRANSAKSI_LOG!$J$2:$J$998=F$7)*(TRANSAKSI_LOG!$E$2:$E$998&lt;=$B130)*(TRANSAKSI_LOG!$F$2:$F$998&gt;=$B130),0),0)) &amp; " - " &amp; INDEX(TRANSAKSI_LOG!$H$2:$H$998,MATCH(1,INDEX((TRANSAKSI_LOG!$C$2:$C$998=$C$5)*(TRANSAKSI_LOG!$J$2:$J$998=F$7)*(TRANSAKSI_LOG!$E$2:$E$998&lt;=$B130)*(TRANSAKSI_LOG!$F$2:$F$998&gt;=$B130),0),0)),"")</f>
        <v/>
      </c>
      <c r="G130" s="66" t="str">
        <f t="array" ref="G130">IFERROR(INDEX(TRANSAKSI_LOG!$M$2:$M$998,MATCH(1,INDEX((TRANSAKSI_LOG!$C$2:$C$998=$C$5)*(TRANSAKSI_LOG!$J$2:$J$998=G$7)*(TRANSAKSI_LOG!$E$2:$E$998&lt;=$B130)*(TRANSAKSI_LOG!$F$2:$F$998&gt;=$B130),0),0)) &amp; " - " &amp; INDEX(TRANSAKSI_LOG!$H$2:$H$998,MATCH(1,INDEX((TRANSAKSI_LOG!$C$2:$C$998=$C$5)*(TRANSAKSI_LOG!$J$2:$J$998=G$7)*(TRANSAKSI_LOG!$E$2:$E$998&lt;=$B130)*(TRANSAKSI_LOG!$F$2:$F$998&gt;=$B130),0),0)),"")</f>
        <v/>
      </c>
      <c r="H130" s="66" t="str">
        <f t="array" ref="H130">IFERROR(INDEX(TRANSAKSI_LOG!$M$2:$M$998,MATCH(1,INDEX((TRANSAKSI_LOG!$C$2:$C$998=$C$5)*(TRANSAKSI_LOG!$J$2:$J$998=H$7)*(TRANSAKSI_LOG!$E$2:$E$998&lt;=$B130)*(TRANSAKSI_LOG!$F$2:$F$998&gt;=$B130),0),0)) &amp; " - " &amp; INDEX(TRANSAKSI_LOG!$H$2:$H$998,MATCH(1,INDEX((TRANSAKSI_LOG!$C$2:$C$998=$C$5)*(TRANSAKSI_LOG!$J$2:$J$998=H$7)*(TRANSAKSI_LOG!$E$2:$E$998&lt;=$B130)*(TRANSAKSI_LOG!$F$2:$F$998&gt;=$B130),0),0)),"")</f>
        <v/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13">
        <v>0.7604166666666666</v>
      </c>
      <c r="C131" s="66" t="str">
        <f t="array" ref="C131">IFERROR(INDEX(TRANSAKSI_LOG!$M$2:$M$998,MATCH(1,INDEX((TRANSAKSI_LOG!$C$2:$C$998=$C$5)*(TRANSAKSI_LOG!$J$2:$J$998=C$7)*(TRANSAKSI_LOG!$E$2:$E$998&lt;=$B131)*(TRANSAKSI_LOG!$F$2:$F$998&gt;=$B131),0),0)) &amp; " - " &amp; INDEX(TRANSAKSI_LOG!$H$2:$H$998,MATCH(1,INDEX((TRANSAKSI_LOG!$C$2:$C$998=$C$5)*(TRANSAKSI_LOG!$J$2:$J$998=C$7)*(TRANSAKSI_LOG!$E$2:$E$998&lt;=$B131)*(TRANSAKSI_LOG!$F$2:$F$998&gt;=$B131),0),0)),"")</f>
        <v/>
      </c>
      <c r="D131" s="66" t="str">
        <f t="array" ref="D131">IFERROR(INDEX(TRANSAKSI_LOG!$M$2:$M$998,MATCH(1,INDEX((TRANSAKSI_LOG!$C$2:$C$998=$C$5)*(TRANSAKSI_LOG!$J$2:$J$998=D$7)*(TRANSAKSI_LOG!$E$2:$E$998&lt;=$B131)*(TRANSAKSI_LOG!$F$2:$F$998&gt;=$B131),0),0)) &amp; " - " &amp; INDEX(TRANSAKSI_LOG!$H$2:$H$998,MATCH(1,INDEX((TRANSAKSI_LOG!$C$2:$C$998=$C$5)*(TRANSAKSI_LOG!$J$2:$J$998=D$7)*(TRANSAKSI_LOG!$E$2:$E$998&lt;=$B131)*(TRANSAKSI_LOG!$F$2:$F$998&gt;=$B131),0),0)),"")</f>
        <v/>
      </c>
      <c r="E131" s="66" t="str">
        <f t="array" ref="E131">IFERROR(INDEX(TRANSAKSI_LOG!$M$2:$M$998,MATCH(1,INDEX((TRANSAKSI_LOG!$C$2:$C$998=$C$5)*(TRANSAKSI_LOG!$J$2:$J$998=E$7)*(TRANSAKSI_LOG!$E$2:$E$998&lt;=$B131)*(TRANSAKSI_LOG!$F$2:$F$998&gt;=$B131),0),0)) &amp; " - " &amp; INDEX(TRANSAKSI_LOG!$H$2:$H$998,MATCH(1,INDEX((TRANSAKSI_LOG!$C$2:$C$998=$C$5)*(TRANSAKSI_LOG!$J$2:$J$998=E$7)*(TRANSAKSI_LOG!$E$2:$E$998&lt;=$B131)*(TRANSAKSI_LOG!$F$2:$F$998&gt;=$B131),0),0)),"")</f>
        <v/>
      </c>
      <c r="F131" s="66" t="str">
        <f t="array" ref="F131">IFERROR(INDEX(TRANSAKSI_LOG!$M$2:$M$998,MATCH(1,INDEX((TRANSAKSI_LOG!$C$2:$C$998=$C$5)*(TRANSAKSI_LOG!$J$2:$J$998=F$7)*(TRANSAKSI_LOG!$E$2:$E$998&lt;=$B131)*(TRANSAKSI_LOG!$F$2:$F$998&gt;=$B131),0),0)) &amp; " - " &amp; INDEX(TRANSAKSI_LOG!$H$2:$H$998,MATCH(1,INDEX((TRANSAKSI_LOG!$C$2:$C$998=$C$5)*(TRANSAKSI_LOG!$J$2:$J$998=F$7)*(TRANSAKSI_LOG!$E$2:$E$998&lt;=$B131)*(TRANSAKSI_LOG!$F$2:$F$998&gt;=$B131),0),0)),"")</f>
        <v/>
      </c>
      <c r="G131" s="66" t="str">
        <f t="array" ref="G131">IFERROR(INDEX(TRANSAKSI_LOG!$M$2:$M$998,MATCH(1,INDEX((TRANSAKSI_LOG!$C$2:$C$998=$C$5)*(TRANSAKSI_LOG!$J$2:$J$998=G$7)*(TRANSAKSI_LOG!$E$2:$E$998&lt;=$B131)*(TRANSAKSI_LOG!$F$2:$F$998&gt;=$B131),0),0)) &amp; " - " &amp; INDEX(TRANSAKSI_LOG!$H$2:$H$998,MATCH(1,INDEX((TRANSAKSI_LOG!$C$2:$C$998=$C$5)*(TRANSAKSI_LOG!$J$2:$J$998=G$7)*(TRANSAKSI_LOG!$E$2:$E$998&lt;=$B131)*(TRANSAKSI_LOG!$F$2:$F$998&gt;=$B131),0),0)),"")</f>
        <v/>
      </c>
      <c r="H131" s="66" t="str">
        <f t="array" ref="H131">IFERROR(INDEX(TRANSAKSI_LOG!$M$2:$M$998,MATCH(1,INDEX((TRANSAKSI_LOG!$C$2:$C$998=$C$5)*(TRANSAKSI_LOG!$J$2:$J$998=H$7)*(TRANSAKSI_LOG!$E$2:$E$998&lt;=$B131)*(TRANSAKSI_LOG!$F$2:$F$998&gt;=$B131),0),0)) &amp; " - " &amp; INDEX(TRANSAKSI_LOG!$H$2:$H$998,MATCH(1,INDEX((TRANSAKSI_LOG!$C$2:$C$998=$C$5)*(TRANSAKSI_LOG!$J$2:$J$998=H$7)*(TRANSAKSI_LOG!$E$2:$E$998&lt;=$B131)*(TRANSAKSI_LOG!$F$2:$F$998&gt;=$B131),0),0)),"")</f>
        <v/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13">
        <v>0.7638888888888888</v>
      </c>
      <c r="C132" s="66" t="str">
        <f t="array" ref="C132">IFERROR(INDEX(TRANSAKSI_LOG!$M$2:$M$998,MATCH(1,INDEX((TRANSAKSI_LOG!$C$2:$C$998=$C$5)*(TRANSAKSI_LOG!$J$2:$J$998=C$7)*(TRANSAKSI_LOG!$E$2:$E$998&lt;=$B132)*(TRANSAKSI_LOG!$F$2:$F$998&gt;=$B132),0),0)) &amp; " - " &amp; INDEX(TRANSAKSI_LOG!$H$2:$H$998,MATCH(1,INDEX((TRANSAKSI_LOG!$C$2:$C$998=$C$5)*(TRANSAKSI_LOG!$J$2:$J$998=C$7)*(TRANSAKSI_LOG!$E$2:$E$998&lt;=$B132)*(TRANSAKSI_LOG!$F$2:$F$998&gt;=$B132),0),0)),"")</f>
        <v/>
      </c>
      <c r="D132" s="66" t="str">
        <f t="array" ref="D132">IFERROR(INDEX(TRANSAKSI_LOG!$M$2:$M$998,MATCH(1,INDEX((TRANSAKSI_LOG!$C$2:$C$998=$C$5)*(TRANSAKSI_LOG!$J$2:$J$998=D$7)*(TRANSAKSI_LOG!$E$2:$E$998&lt;=$B132)*(TRANSAKSI_LOG!$F$2:$F$998&gt;=$B132),0),0)) &amp; " - " &amp; INDEX(TRANSAKSI_LOG!$H$2:$H$998,MATCH(1,INDEX((TRANSAKSI_LOG!$C$2:$C$998=$C$5)*(TRANSAKSI_LOG!$J$2:$J$998=D$7)*(TRANSAKSI_LOG!$E$2:$E$998&lt;=$B132)*(TRANSAKSI_LOG!$F$2:$F$998&gt;=$B132),0),0)),"")</f>
        <v/>
      </c>
      <c r="E132" s="66" t="str">
        <f t="array" ref="E132">IFERROR(INDEX(TRANSAKSI_LOG!$M$2:$M$998,MATCH(1,INDEX((TRANSAKSI_LOG!$C$2:$C$998=$C$5)*(TRANSAKSI_LOG!$J$2:$J$998=E$7)*(TRANSAKSI_LOG!$E$2:$E$998&lt;=$B132)*(TRANSAKSI_LOG!$F$2:$F$998&gt;=$B132),0),0)) &amp; " - " &amp; INDEX(TRANSAKSI_LOG!$H$2:$H$998,MATCH(1,INDEX((TRANSAKSI_LOG!$C$2:$C$998=$C$5)*(TRANSAKSI_LOG!$J$2:$J$998=E$7)*(TRANSAKSI_LOG!$E$2:$E$998&lt;=$B132)*(TRANSAKSI_LOG!$F$2:$F$998&gt;=$B132),0),0)),"")</f>
        <v/>
      </c>
      <c r="F132" s="66" t="str">
        <f t="array" ref="F132">IFERROR(INDEX(TRANSAKSI_LOG!$M$2:$M$998,MATCH(1,INDEX((TRANSAKSI_LOG!$C$2:$C$998=$C$5)*(TRANSAKSI_LOG!$J$2:$J$998=F$7)*(TRANSAKSI_LOG!$E$2:$E$998&lt;=$B132)*(TRANSAKSI_LOG!$F$2:$F$998&gt;=$B132),0),0)) &amp; " - " &amp; INDEX(TRANSAKSI_LOG!$H$2:$H$998,MATCH(1,INDEX((TRANSAKSI_LOG!$C$2:$C$998=$C$5)*(TRANSAKSI_LOG!$J$2:$J$998=F$7)*(TRANSAKSI_LOG!$E$2:$E$998&lt;=$B132)*(TRANSAKSI_LOG!$F$2:$F$998&gt;=$B132),0),0)),"")</f>
        <v/>
      </c>
      <c r="G132" s="66" t="str">
        <f t="array" ref="G132">IFERROR(INDEX(TRANSAKSI_LOG!$M$2:$M$998,MATCH(1,INDEX((TRANSAKSI_LOG!$C$2:$C$998=$C$5)*(TRANSAKSI_LOG!$J$2:$J$998=G$7)*(TRANSAKSI_LOG!$E$2:$E$998&lt;=$B132)*(TRANSAKSI_LOG!$F$2:$F$998&gt;=$B132),0),0)) &amp; " - " &amp; INDEX(TRANSAKSI_LOG!$H$2:$H$998,MATCH(1,INDEX((TRANSAKSI_LOG!$C$2:$C$998=$C$5)*(TRANSAKSI_LOG!$J$2:$J$998=G$7)*(TRANSAKSI_LOG!$E$2:$E$998&lt;=$B132)*(TRANSAKSI_LOG!$F$2:$F$998&gt;=$B132),0),0)),"")</f>
        <v/>
      </c>
      <c r="H132" s="66" t="str">
        <f t="array" ref="H132">IFERROR(INDEX(TRANSAKSI_LOG!$M$2:$M$998,MATCH(1,INDEX((TRANSAKSI_LOG!$C$2:$C$998=$C$5)*(TRANSAKSI_LOG!$J$2:$J$998=H$7)*(TRANSAKSI_LOG!$E$2:$E$998&lt;=$B132)*(TRANSAKSI_LOG!$F$2:$F$998&gt;=$B132),0),0)) &amp; " - " &amp; INDEX(TRANSAKSI_LOG!$H$2:$H$998,MATCH(1,INDEX((TRANSAKSI_LOG!$C$2:$C$998=$C$5)*(TRANSAKSI_LOG!$J$2:$J$998=H$7)*(TRANSAKSI_LOG!$E$2:$E$998&lt;=$B132)*(TRANSAKSI_LOG!$F$2:$F$998&gt;=$B132),0),0)),"")</f>
        <v/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13">
        <v>0.7673611111111112</v>
      </c>
      <c r="C133" s="66" t="str">
        <f t="array" ref="C133">IFERROR(INDEX(TRANSAKSI_LOG!$M$2:$M$998,MATCH(1,INDEX((TRANSAKSI_LOG!$C$2:$C$998=$C$5)*(TRANSAKSI_LOG!$J$2:$J$998=C$7)*(TRANSAKSI_LOG!$E$2:$E$998&lt;=$B133)*(TRANSAKSI_LOG!$F$2:$F$998&gt;=$B133),0),0)) &amp; " - " &amp; INDEX(TRANSAKSI_LOG!$H$2:$H$998,MATCH(1,INDEX((TRANSAKSI_LOG!$C$2:$C$998=$C$5)*(TRANSAKSI_LOG!$J$2:$J$998=C$7)*(TRANSAKSI_LOG!$E$2:$E$998&lt;=$B133)*(TRANSAKSI_LOG!$F$2:$F$998&gt;=$B133),0),0)),"")</f>
        <v/>
      </c>
      <c r="D133" s="66" t="str">
        <f t="array" ref="D133">IFERROR(INDEX(TRANSAKSI_LOG!$M$2:$M$998,MATCH(1,INDEX((TRANSAKSI_LOG!$C$2:$C$998=$C$5)*(TRANSAKSI_LOG!$J$2:$J$998=D$7)*(TRANSAKSI_LOG!$E$2:$E$998&lt;=$B133)*(TRANSAKSI_LOG!$F$2:$F$998&gt;=$B133),0),0)) &amp; " - " &amp; INDEX(TRANSAKSI_LOG!$H$2:$H$998,MATCH(1,INDEX((TRANSAKSI_LOG!$C$2:$C$998=$C$5)*(TRANSAKSI_LOG!$J$2:$J$998=D$7)*(TRANSAKSI_LOG!$E$2:$E$998&lt;=$B133)*(TRANSAKSI_LOG!$F$2:$F$998&gt;=$B133),0),0)),"")</f>
        <v/>
      </c>
      <c r="E133" s="66" t="str">
        <f t="array" ref="E133">IFERROR(INDEX(TRANSAKSI_LOG!$M$2:$M$998,MATCH(1,INDEX((TRANSAKSI_LOG!$C$2:$C$998=$C$5)*(TRANSAKSI_LOG!$J$2:$J$998=E$7)*(TRANSAKSI_LOG!$E$2:$E$998&lt;=$B133)*(TRANSAKSI_LOG!$F$2:$F$998&gt;=$B133),0),0)) &amp; " - " &amp; INDEX(TRANSAKSI_LOG!$H$2:$H$998,MATCH(1,INDEX((TRANSAKSI_LOG!$C$2:$C$998=$C$5)*(TRANSAKSI_LOG!$J$2:$J$998=E$7)*(TRANSAKSI_LOG!$E$2:$E$998&lt;=$B133)*(TRANSAKSI_LOG!$F$2:$F$998&gt;=$B133),0),0)),"")</f>
        <v/>
      </c>
      <c r="F133" s="66" t="str">
        <f t="array" ref="F133">IFERROR(INDEX(TRANSAKSI_LOG!$M$2:$M$998,MATCH(1,INDEX((TRANSAKSI_LOG!$C$2:$C$998=$C$5)*(TRANSAKSI_LOG!$J$2:$J$998=F$7)*(TRANSAKSI_LOG!$E$2:$E$998&lt;=$B133)*(TRANSAKSI_LOG!$F$2:$F$998&gt;=$B133),0),0)) &amp; " - " &amp; INDEX(TRANSAKSI_LOG!$H$2:$H$998,MATCH(1,INDEX((TRANSAKSI_LOG!$C$2:$C$998=$C$5)*(TRANSAKSI_LOG!$J$2:$J$998=F$7)*(TRANSAKSI_LOG!$E$2:$E$998&lt;=$B133)*(TRANSAKSI_LOG!$F$2:$F$998&gt;=$B133),0),0)),"")</f>
        <v/>
      </c>
      <c r="G133" s="66" t="str">
        <f t="array" ref="G133">IFERROR(INDEX(TRANSAKSI_LOG!$M$2:$M$998,MATCH(1,INDEX((TRANSAKSI_LOG!$C$2:$C$998=$C$5)*(TRANSAKSI_LOG!$J$2:$J$998=G$7)*(TRANSAKSI_LOG!$E$2:$E$998&lt;=$B133)*(TRANSAKSI_LOG!$F$2:$F$998&gt;=$B133),0),0)) &amp; " - " &amp; INDEX(TRANSAKSI_LOG!$H$2:$H$998,MATCH(1,INDEX((TRANSAKSI_LOG!$C$2:$C$998=$C$5)*(TRANSAKSI_LOG!$J$2:$J$998=G$7)*(TRANSAKSI_LOG!$E$2:$E$998&lt;=$B133)*(TRANSAKSI_LOG!$F$2:$F$998&gt;=$B133),0),0)),"")</f>
        <v/>
      </c>
      <c r="H133" s="66" t="str">
        <f t="array" ref="H133">IFERROR(INDEX(TRANSAKSI_LOG!$M$2:$M$998,MATCH(1,INDEX((TRANSAKSI_LOG!$C$2:$C$998=$C$5)*(TRANSAKSI_LOG!$J$2:$J$998=H$7)*(TRANSAKSI_LOG!$E$2:$E$998&lt;=$B133)*(TRANSAKSI_LOG!$F$2:$F$998&gt;=$B133),0),0)) &amp; " - " &amp; INDEX(TRANSAKSI_LOG!$H$2:$H$998,MATCH(1,INDEX((TRANSAKSI_LOG!$C$2:$C$998=$C$5)*(TRANSAKSI_LOG!$J$2:$J$998=H$7)*(TRANSAKSI_LOG!$E$2:$E$998&lt;=$B133)*(TRANSAKSI_LOG!$F$2:$F$998&gt;=$B133),0),0)),"")</f>
        <v/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13">
        <v>0.7708333333333334</v>
      </c>
      <c r="C134" s="66" t="str">
        <f t="array" ref="C134">IFERROR(INDEX(TRANSAKSI_LOG!$M$2:$M$998,MATCH(1,INDEX((TRANSAKSI_LOG!$C$2:$C$998=$C$5)*(TRANSAKSI_LOG!$J$2:$J$998=C$7)*(TRANSAKSI_LOG!$E$2:$E$998&lt;=$B134)*(TRANSAKSI_LOG!$F$2:$F$998&gt;=$B134),0),0)) &amp; " - " &amp; INDEX(TRANSAKSI_LOG!$H$2:$H$998,MATCH(1,INDEX((TRANSAKSI_LOG!$C$2:$C$998=$C$5)*(TRANSAKSI_LOG!$J$2:$J$998=C$7)*(TRANSAKSI_LOG!$E$2:$E$998&lt;=$B134)*(TRANSAKSI_LOG!$F$2:$F$998&gt;=$B134),0),0)),"")</f>
        <v/>
      </c>
      <c r="D134" s="66" t="str">
        <f t="array" ref="D134">IFERROR(INDEX(TRANSAKSI_LOG!$M$2:$M$998,MATCH(1,INDEX((TRANSAKSI_LOG!$C$2:$C$998=$C$5)*(TRANSAKSI_LOG!$J$2:$J$998=D$7)*(TRANSAKSI_LOG!$E$2:$E$998&lt;=$B134)*(TRANSAKSI_LOG!$F$2:$F$998&gt;=$B134),0),0)) &amp; " - " &amp; INDEX(TRANSAKSI_LOG!$H$2:$H$998,MATCH(1,INDEX((TRANSAKSI_LOG!$C$2:$C$998=$C$5)*(TRANSAKSI_LOG!$J$2:$J$998=D$7)*(TRANSAKSI_LOG!$E$2:$E$998&lt;=$B134)*(TRANSAKSI_LOG!$F$2:$F$998&gt;=$B134),0),0)),"")</f>
        <v/>
      </c>
      <c r="E134" s="66" t="str">
        <f t="array" ref="E134">IFERROR(INDEX(TRANSAKSI_LOG!$M$2:$M$998,MATCH(1,INDEX((TRANSAKSI_LOG!$C$2:$C$998=$C$5)*(TRANSAKSI_LOG!$J$2:$J$998=E$7)*(TRANSAKSI_LOG!$E$2:$E$998&lt;=$B134)*(TRANSAKSI_LOG!$F$2:$F$998&gt;=$B134),0),0)) &amp; " - " &amp; INDEX(TRANSAKSI_LOG!$H$2:$H$998,MATCH(1,INDEX((TRANSAKSI_LOG!$C$2:$C$998=$C$5)*(TRANSAKSI_LOG!$J$2:$J$998=E$7)*(TRANSAKSI_LOG!$E$2:$E$998&lt;=$B134)*(TRANSAKSI_LOG!$F$2:$F$998&gt;=$B134),0),0)),"")</f>
        <v/>
      </c>
      <c r="F134" s="66" t="str">
        <f t="array" ref="F134">IFERROR(INDEX(TRANSAKSI_LOG!$M$2:$M$998,MATCH(1,INDEX((TRANSAKSI_LOG!$C$2:$C$998=$C$5)*(TRANSAKSI_LOG!$J$2:$J$998=F$7)*(TRANSAKSI_LOG!$E$2:$E$998&lt;=$B134)*(TRANSAKSI_LOG!$F$2:$F$998&gt;=$B134),0),0)) &amp; " - " &amp; INDEX(TRANSAKSI_LOG!$H$2:$H$998,MATCH(1,INDEX((TRANSAKSI_LOG!$C$2:$C$998=$C$5)*(TRANSAKSI_LOG!$J$2:$J$998=F$7)*(TRANSAKSI_LOG!$E$2:$E$998&lt;=$B134)*(TRANSAKSI_LOG!$F$2:$F$998&gt;=$B134),0),0)),"")</f>
        <v/>
      </c>
      <c r="G134" s="66" t="str">
        <f t="array" ref="G134">IFERROR(INDEX(TRANSAKSI_LOG!$M$2:$M$998,MATCH(1,INDEX((TRANSAKSI_LOG!$C$2:$C$998=$C$5)*(TRANSAKSI_LOG!$J$2:$J$998=G$7)*(TRANSAKSI_LOG!$E$2:$E$998&lt;=$B134)*(TRANSAKSI_LOG!$F$2:$F$998&gt;=$B134),0),0)) &amp; " - " &amp; INDEX(TRANSAKSI_LOG!$H$2:$H$998,MATCH(1,INDEX((TRANSAKSI_LOG!$C$2:$C$998=$C$5)*(TRANSAKSI_LOG!$J$2:$J$998=G$7)*(TRANSAKSI_LOG!$E$2:$E$998&lt;=$B134)*(TRANSAKSI_LOG!$F$2:$F$998&gt;=$B134),0),0)),"")</f>
        <v/>
      </c>
      <c r="H134" s="66" t="str">
        <f t="array" ref="H134">IFERROR(INDEX(TRANSAKSI_LOG!$M$2:$M$998,MATCH(1,INDEX((TRANSAKSI_LOG!$C$2:$C$998=$C$5)*(TRANSAKSI_LOG!$J$2:$J$998=H$7)*(TRANSAKSI_LOG!$E$2:$E$998&lt;=$B134)*(TRANSAKSI_LOG!$F$2:$F$998&gt;=$B134),0),0)) &amp; " - " &amp; INDEX(TRANSAKSI_LOG!$H$2:$H$998,MATCH(1,INDEX((TRANSAKSI_LOG!$C$2:$C$998=$C$5)*(TRANSAKSI_LOG!$J$2:$J$998=H$7)*(TRANSAKSI_LOG!$E$2:$E$998&lt;=$B134)*(TRANSAKSI_LOG!$F$2:$F$998&gt;=$B134),0),0)),"")</f>
        <v/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13">
        <v>0.7743055555555556</v>
      </c>
      <c r="C135" s="66" t="str">
        <f t="array" ref="C135">IFERROR(INDEX(TRANSAKSI_LOG!$M$2:$M$998,MATCH(1,INDEX((TRANSAKSI_LOG!$C$2:$C$998=$C$5)*(TRANSAKSI_LOG!$J$2:$J$998=C$7)*(TRANSAKSI_LOG!$E$2:$E$998&lt;=$B135)*(TRANSAKSI_LOG!$F$2:$F$998&gt;=$B135),0),0)) &amp; " - " &amp; INDEX(TRANSAKSI_LOG!$H$2:$H$998,MATCH(1,INDEX((TRANSAKSI_LOG!$C$2:$C$998=$C$5)*(TRANSAKSI_LOG!$J$2:$J$998=C$7)*(TRANSAKSI_LOG!$E$2:$E$998&lt;=$B135)*(TRANSAKSI_LOG!$F$2:$F$998&gt;=$B135),0),0)),"")</f>
        <v/>
      </c>
      <c r="D135" s="66" t="str">
        <f t="array" ref="D135">IFERROR(INDEX(TRANSAKSI_LOG!$M$2:$M$998,MATCH(1,INDEX((TRANSAKSI_LOG!$C$2:$C$998=$C$5)*(TRANSAKSI_LOG!$J$2:$J$998=D$7)*(TRANSAKSI_LOG!$E$2:$E$998&lt;=$B135)*(TRANSAKSI_LOG!$F$2:$F$998&gt;=$B135),0),0)) &amp; " - " &amp; INDEX(TRANSAKSI_LOG!$H$2:$H$998,MATCH(1,INDEX((TRANSAKSI_LOG!$C$2:$C$998=$C$5)*(TRANSAKSI_LOG!$J$2:$J$998=D$7)*(TRANSAKSI_LOG!$E$2:$E$998&lt;=$B135)*(TRANSAKSI_LOG!$F$2:$F$998&gt;=$B135),0),0)),"")</f>
        <v/>
      </c>
      <c r="E135" s="66" t="str">
        <f t="array" ref="E135">IFERROR(INDEX(TRANSAKSI_LOG!$M$2:$M$998,MATCH(1,INDEX((TRANSAKSI_LOG!$C$2:$C$998=$C$5)*(TRANSAKSI_LOG!$J$2:$J$998=E$7)*(TRANSAKSI_LOG!$E$2:$E$998&lt;=$B135)*(TRANSAKSI_LOG!$F$2:$F$998&gt;=$B135),0),0)) &amp; " - " &amp; INDEX(TRANSAKSI_LOG!$H$2:$H$998,MATCH(1,INDEX((TRANSAKSI_LOG!$C$2:$C$998=$C$5)*(TRANSAKSI_LOG!$J$2:$J$998=E$7)*(TRANSAKSI_LOG!$E$2:$E$998&lt;=$B135)*(TRANSAKSI_LOG!$F$2:$F$998&gt;=$B135),0),0)),"")</f>
        <v/>
      </c>
      <c r="F135" s="66" t="str">
        <f t="array" ref="F135">IFERROR(INDEX(TRANSAKSI_LOG!$M$2:$M$998,MATCH(1,INDEX((TRANSAKSI_LOG!$C$2:$C$998=$C$5)*(TRANSAKSI_LOG!$J$2:$J$998=F$7)*(TRANSAKSI_LOG!$E$2:$E$998&lt;=$B135)*(TRANSAKSI_LOG!$F$2:$F$998&gt;=$B135),0),0)) &amp; " - " &amp; INDEX(TRANSAKSI_LOG!$H$2:$H$998,MATCH(1,INDEX((TRANSAKSI_LOG!$C$2:$C$998=$C$5)*(TRANSAKSI_LOG!$J$2:$J$998=F$7)*(TRANSAKSI_LOG!$E$2:$E$998&lt;=$B135)*(TRANSAKSI_LOG!$F$2:$F$998&gt;=$B135),0),0)),"")</f>
        <v/>
      </c>
      <c r="G135" s="66" t="str">
        <f t="array" ref="G135">IFERROR(INDEX(TRANSAKSI_LOG!$M$2:$M$998,MATCH(1,INDEX((TRANSAKSI_LOG!$C$2:$C$998=$C$5)*(TRANSAKSI_LOG!$J$2:$J$998=G$7)*(TRANSAKSI_LOG!$E$2:$E$998&lt;=$B135)*(TRANSAKSI_LOG!$F$2:$F$998&gt;=$B135),0),0)) &amp; " - " &amp; INDEX(TRANSAKSI_LOG!$H$2:$H$998,MATCH(1,INDEX((TRANSAKSI_LOG!$C$2:$C$998=$C$5)*(TRANSAKSI_LOG!$J$2:$J$998=G$7)*(TRANSAKSI_LOG!$E$2:$E$998&lt;=$B135)*(TRANSAKSI_LOG!$F$2:$F$998&gt;=$B135),0),0)),"")</f>
        <v/>
      </c>
      <c r="H135" s="66" t="str">
        <f t="array" ref="H135">IFERROR(INDEX(TRANSAKSI_LOG!$M$2:$M$998,MATCH(1,INDEX((TRANSAKSI_LOG!$C$2:$C$998=$C$5)*(TRANSAKSI_LOG!$J$2:$J$998=H$7)*(TRANSAKSI_LOG!$E$2:$E$998&lt;=$B135)*(TRANSAKSI_LOG!$F$2:$F$998&gt;=$B135),0),0)) &amp; " - " &amp; INDEX(TRANSAKSI_LOG!$H$2:$H$998,MATCH(1,INDEX((TRANSAKSI_LOG!$C$2:$C$998=$C$5)*(TRANSAKSI_LOG!$J$2:$J$998=H$7)*(TRANSAKSI_LOG!$E$2:$E$998&lt;=$B135)*(TRANSAKSI_LOG!$F$2:$F$998&gt;=$B135),0),0)),"")</f>
        <v/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13">
        <v>0.7777777777777778</v>
      </c>
      <c r="C136" s="66" t="str">
        <f t="array" ref="C136">IFERROR(INDEX(TRANSAKSI_LOG!$M$2:$M$998,MATCH(1,INDEX((TRANSAKSI_LOG!$C$2:$C$998=$C$5)*(TRANSAKSI_LOG!$J$2:$J$998=C$7)*(TRANSAKSI_LOG!$E$2:$E$998&lt;=$B136)*(TRANSAKSI_LOG!$F$2:$F$998&gt;=$B136),0),0)) &amp; " - " &amp; INDEX(TRANSAKSI_LOG!$H$2:$H$998,MATCH(1,INDEX((TRANSAKSI_LOG!$C$2:$C$998=$C$5)*(TRANSAKSI_LOG!$J$2:$J$998=C$7)*(TRANSAKSI_LOG!$E$2:$E$998&lt;=$B136)*(TRANSAKSI_LOG!$F$2:$F$998&gt;=$B136),0),0)),"")</f>
        <v/>
      </c>
      <c r="D136" s="66" t="str">
        <f t="array" ref="D136">IFERROR(INDEX(TRANSAKSI_LOG!$M$2:$M$998,MATCH(1,INDEX((TRANSAKSI_LOG!$C$2:$C$998=$C$5)*(TRANSAKSI_LOG!$J$2:$J$998=D$7)*(TRANSAKSI_LOG!$E$2:$E$998&lt;=$B136)*(TRANSAKSI_LOG!$F$2:$F$998&gt;=$B136),0),0)) &amp; " - " &amp; INDEX(TRANSAKSI_LOG!$H$2:$H$998,MATCH(1,INDEX((TRANSAKSI_LOG!$C$2:$C$998=$C$5)*(TRANSAKSI_LOG!$J$2:$J$998=D$7)*(TRANSAKSI_LOG!$E$2:$E$998&lt;=$B136)*(TRANSAKSI_LOG!$F$2:$F$998&gt;=$B136),0),0)),"")</f>
        <v/>
      </c>
      <c r="E136" s="66" t="str">
        <f t="array" ref="E136">IFERROR(INDEX(TRANSAKSI_LOG!$M$2:$M$998,MATCH(1,INDEX((TRANSAKSI_LOG!$C$2:$C$998=$C$5)*(TRANSAKSI_LOG!$J$2:$J$998=E$7)*(TRANSAKSI_LOG!$E$2:$E$998&lt;=$B136)*(TRANSAKSI_LOG!$F$2:$F$998&gt;=$B136),0),0)) &amp; " - " &amp; INDEX(TRANSAKSI_LOG!$H$2:$H$998,MATCH(1,INDEX((TRANSAKSI_LOG!$C$2:$C$998=$C$5)*(TRANSAKSI_LOG!$J$2:$J$998=E$7)*(TRANSAKSI_LOG!$E$2:$E$998&lt;=$B136)*(TRANSAKSI_LOG!$F$2:$F$998&gt;=$B136),0),0)),"")</f>
        <v/>
      </c>
      <c r="F136" s="66" t="str">
        <f t="array" ref="F136">IFERROR(INDEX(TRANSAKSI_LOG!$M$2:$M$998,MATCH(1,INDEX((TRANSAKSI_LOG!$C$2:$C$998=$C$5)*(TRANSAKSI_LOG!$J$2:$J$998=F$7)*(TRANSAKSI_LOG!$E$2:$E$998&lt;=$B136)*(TRANSAKSI_LOG!$F$2:$F$998&gt;=$B136),0),0)) &amp; " - " &amp; INDEX(TRANSAKSI_LOG!$H$2:$H$998,MATCH(1,INDEX((TRANSAKSI_LOG!$C$2:$C$998=$C$5)*(TRANSAKSI_LOG!$J$2:$J$998=F$7)*(TRANSAKSI_LOG!$E$2:$E$998&lt;=$B136)*(TRANSAKSI_LOG!$F$2:$F$998&gt;=$B136),0),0)),"")</f>
        <v/>
      </c>
      <c r="G136" s="66" t="str">
        <f t="array" ref="G136">IFERROR(INDEX(TRANSAKSI_LOG!$M$2:$M$998,MATCH(1,INDEX((TRANSAKSI_LOG!$C$2:$C$998=$C$5)*(TRANSAKSI_LOG!$J$2:$J$998=G$7)*(TRANSAKSI_LOG!$E$2:$E$998&lt;=$B136)*(TRANSAKSI_LOG!$F$2:$F$998&gt;=$B136),0),0)) &amp; " - " &amp; INDEX(TRANSAKSI_LOG!$H$2:$H$998,MATCH(1,INDEX((TRANSAKSI_LOG!$C$2:$C$998=$C$5)*(TRANSAKSI_LOG!$J$2:$J$998=G$7)*(TRANSAKSI_LOG!$E$2:$E$998&lt;=$B136)*(TRANSAKSI_LOG!$F$2:$F$998&gt;=$B136),0),0)),"")</f>
        <v/>
      </c>
      <c r="H136" s="66" t="str">
        <f t="array" ref="H136">IFERROR(INDEX(TRANSAKSI_LOG!$M$2:$M$998,MATCH(1,INDEX((TRANSAKSI_LOG!$C$2:$C$998=$C$5)*(TRANSAKSI_LOG!$J$2:$J$998=H$7)*(TRANSAKSI_LOG!$E$2:$E$998&lt;=$B136)*(TRANSAKSI_LOG!$F$2:$F$998&gt;=$B136),0),0)) &amp; " - " &amp; INDEX(TRANSAKSI_LOG!$H$2:$H$998,MATCH(1,INDEX((TRANSAKSI_LOG!$C$2:$C$998=$C$5)*(TRANSAKSI_LOG!$J$2:$J$998=H$7)*(TRANSAKSI_LOG!$E$2:$E$998&lt;=$B136)*(TRANSAKSI_LOG!$F$2:$F$998&gt;=$B136),0),0)),"")</f>
        <v/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13">
        <v>0.78125</v>
      </c>
      <c r="C137" s="66" t="str">
        <f t="array" ref="C137">IFERROR(INDEX(TRANSAKSI_LOG!$M$2:$M$998,MATCH(1,INDEX((TRANSAKSI_LOG!$C$2:$C$998=$C$5)*(TRANSAKSI_LOG!$J$2:$J$998=C$7)*(TRANSAKSI_LOG!$E$2:$E$998&lt;=$B137)*(TRANSAKSI_LOG!$F$2:$F$998&gt;=$B137),0),0)) &amp; " - " &amp; INDEX(TRANSAKSI_LOG!$H$2:$H$998,MATCH(1,INDEX((TRANSAKSI_LOG!$C$2:$C$998=$C$5)*(TRANSAKSI_LOG!$J$2:$J$998=C$7)*(TRANSAKSI_LOG!$E$2:$E$998&lt;=$B137)*(TRANSAKSI_LOG!$F$2:$F$998&gt;=$B137),0),0)),"")</f>
        <v/>
      </c>
      <c r="D137" s="66" t="str">
        <f t="array" ref="D137">IFERROR(INDEX(TRANSAKSI_LOG!$M$2:$M$998,MATCH(1,INDEX((TRANSAKSI_LOG!$C$2:$C$998=$C$5)*(TRANSAKSI_LOG!$J$2:$J$998=D$7)*(TRANSAKSI_LOG!$E$2:$E$998&lt;=$B137)*(TRANSAKSI_LOG!$F$2:$F$998&gt;=$B137),0),0)) &amp; " - " &amp; INDEX(TRANSAKSI_LOG!$H$2:$H$998,MATCH(1,INDEX((TRANSAKSI_LOG!$C$2:$C$998=$C$5)*(TRANSAKSI_LOG!$J$2:$J$998=D$7)*(TRANSAKSI_LOG!$E$2:$E$998&lt;=$B137)*(TRANSAKSI_LOG!$F$2:$F$998&gt;=$B137),0),0)),"")</f>
        <v/>
      </c>
      <c r="E137" s="66" t="str">
        <f t="array" ref="E137">IFERROR(INDEX(TRANSAKSI_LOG!$M$2:$M$998,MATCH(1,INDEX((TRANSAKSI_LOG!$C$2:$C$998=$C$5)*(TRANSAKSI_LOG!$J$2:$J$998=E$7)*(TRANSAKSI_LOG!$E$2:$E$998&lt;=$B137)*(TRANSAKSI_LOG!$F$2:$F$998&gt;=$B137),0),0)) &amp; " - " &amp; INDEX(TRANSAKSI_LOG!$H$2:$H$998,MATCH(1,INDEX((TRANSAKSI_LOG!$C$2:$C$998=$C$5)*(TRANSAKSI_LOG!$J$2:$J$998=E$7)*(TRANSAKSI_LOG!$E$2:$E$998&lt;=$B137)*(TRANSAKSI_LOG!$F$2:$F$998&gt;=$B137),0),0)),"")</f>
        <v/>
      </c>
      <c r="F137" s="66" t="str">
        <f t="array" ref="F137">IFERROR(INDEX(TRANSAKSI_LOG!$M$2:$M$998,MATCH(1,INDEX((TRANSAKSI_LOG!$C$2:$C$998=$C$5)*(TRANSAKSI_LOG!$J$2:$J$998=F$7)*(TRANSAKSI_LOG!$E$2:$E$998&lt;=$B137)*(TRANSAKSI_LOG!$F$2:$F$998&gt;=$B137),0),0)) &amp; " - " &amp; INDEX(TRANSAKSI_LOG!$H$2:$H$998,MATCH(1,INDEX((TRANSAKSI_LOG!$C$2:$C$998=$C$5)*(TRANSAKSI_LOG!$J$2:$J$998=F$7)*(TRANSAKSI_LOG!$E$2:$E$998&lt;=$B137)*(TRANSAKSI_LOG!$F$2:$F$998&gt;=$B137),0),0)),"")</f>
        <v/>
      </c>
      <c r="G137" s="66" t="str">
        <f t="array" ref="G137">IFERROR(INDEX(TRANSAKSI_LOG!$M$2:$M$998,MATCH(1,INDEX((TRANSAKSI_LOG!$C$2:$C$998=$C$5)*(TRANSAKSI_LOG!$J$2:$J$998=G$7)*(TRANSAKSI_LOG!$E$2:$E$998&lt;=$B137)*(TRANSAKSI_LOG!$F$2:$F$998&gt;=$B137),0),0)) &amp; " - " &amp; INDEX(TRANSAKSI_LOG!$H$2:$H$998,MATCH(1,INDEX((TRANSAKSI_LOG!$C$2:$C$998=$C$5)*(TRANSAKSI_LOG!$J$2:$J$998=G$7)*(TRANSAKSI_LOG!$E$2:$E$998&lt;=$B137)*(TRANSAKSI_LOG!$F$2:$F$998&gt;=$B137),0),0)),"")</f>
        <v/>
      </c>
      <c r="H137" s="66" t="str">
        <f t="array" ref="H137">IFERROR(INDEX(TRANSAKSI_LOG!$M$2:$M$998,MATCH(1,INDEX((TRANSAKSI_LOG!$C$2:$C$998=$C$5)*(TRANSAKSI_LOG!$J$2:$J$998=H$7)*(TRANSAKSI_LOG!$E$2:$E$998&lt;=$B137)*(TRANSAKSI_LOG!$F$2:$F$998&gt;=$B137),0),0)) &amp; " - " &amp; INDEX(TRANSAKSI_LOG!$H$2:$H$998,MATCH(1,INDEX((TRANSAKSI_LOG!$C$2:$C$998=$C$5)*(TRANSAKSI_LOG!$J$2:$J$998=H$7)*(TRANSAKSI_LOG!$E$2:$E$998&lt;=$B137)*(TRANSAKSI_LOG!$F$2:$F$998&gt;=$B137),0),0)),"")</f>
        <v/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13">
        <v>0.7847222222222222</v>
      </c>
      <c r="C138" s="66" t="str">
        <f t="array" ref="C138">IFERROR(INDEX(TRANSAKSI_LOG!$M$2:$M$998,MATCH(1,INDEX((TRANSAKSI_LOG!$C$2:$C$998=$C$5)*(TRANSAKSI_LOG!$J$2:$J$998=C$7)*(TRANSAKSI_LOG!$E$2:$E$998&lt;=$B138)*(TRANSAKSI_LOG!$F$2:$F$998&gt;=$B138),0),0)) &amp; " - " &amp; INDEX(TRANSAKSI_LOG!$H$2:$H$998,MATCH(1,INDEX((TRANSAKSI_LOG!$C$2:$C$998=$C$5)*(TRANSAKSI_LOG!$J$2:$J$998=C$7)*(TRANSAKSI_LOG!$E$2:$E$998&lt;=$B138)*(TRANSAKSI_LOG!$F$2:$F$998&gt;=$B138),0),0)),"")</f>
        <v/>
      </c>
      <c r="D138" s="66" t="str">
        <f t="array" ref="D138">IFERROR(INDEX(TRANSAKSI_LOG!$M$2:$M$998,MATCH(1,INDEX((TRANSAKSI_LOG!$C$2:$C$998=$C$5)*(TRANSAKSI_LOG!$J$2:$J$998=D$7)*(TRANSAKSI_LOG!$E$2:$E$998&lt;=$B138)*(TRANSAKSI_LOG!$F$2:$F$998&gt;=$B138),0),0)) &amp; " - " &amp; INDEX(TRANSAKSI_LOG!$H$2:$H$998,MATCH(1,INDEX((TRANSAKSI_LOG!$C$2:$C$998=$C$5)*(TRANSAKSI_LOG!$J$2:$J$998=D$7)*(TRANSAKSI_LOG!$E$2:$E$998&lt;=$B138)*(TRANSAKSI_LOG!$F$2:$F$998&gt;=$B138),0),0)),"")</f>
        <v/>
      </c>
      <c r="E138" s="66" t="str">
        <f t="array" ref="E138">IFERROR(INDEX(TRANSAKSI_LOG!$M$2:$M$998,MATCH(1,INDEX((TRANSAKSI_LOG!$C$2:$C$998=$C$5)*(TRANSAKSI_LOG!$J$2:$J$998=E$7)*(TRANSAKSI_LOG!$E$2:$E$998&lt;=$B138)*(TRANSAKSI_LOG!$F$2:$F$998&gt;=$B138),0),0)) &amp; " - " &amp; INDEX(TRANSAKSI_LOG!$H$2:$H$998,MATCH(1,INDEX((TRANSAKSI_LOG!$C$2:$C$998=$C$5)*(TRANSAKSI_LOG!$J$2:$J$998=E$7)*(TRANSAKSI_LOG!$E$2:$E$998&lt;=$B138)*(TRANSAKSI_LOG!$F$2:$F$998&gt;=$B138),0),0)),"")</f>
        <v/>
      </c>
      <c r="F138" s="66" t="str">
        <f t="array" ref="F138">IFERROR(INDEX(TRANSAKSI_LOG!$M$2:$M$998,MATCH(1,INDEX((TRANSAKSI_LOG!$C$2:$C$998=$C$5)*(TRANSAKSI_LOG!$J$2:$J$998=F$7)*(TRANSAKSI_LOG!$E$2:$E$998&lt;=$B138)*(TRANSAKSI_LOG!$F$2:$F$998&gt;=$B138),0),0)) &amp; " - " &amp; INDEX(TRANSAKSI_LOG!$H$2:$H$998,MATCH(1,INDEX((TRANSAKSI_LOG!$C$2:$C$998=$C$5)*(TRANSAKSI_LOG!$J$2:$J$998=F$7)*(TRANSAKSI_LOG!$E$2:$E$998&lt;=$B138)*(TRANSAKSI_LOG!$F$2:$F$998&gt;=$B138),0),0)),"")</f>
        <v/>
      </c>
      <c r="G138" s="66" t="str">
        <f t="array" ref="G138">IFERROR(INDEX(TRANSAKSI_LOG!$M$2:$M$998,MATCH(1,INDEX((TRANSAKSI_LOG!$C$2:$C$998=$C$5)*(TRANSAKSI_LOG!$J$2:$J$998=G$7)*(TRANSAKSI_LOG!$E$2:$E$998&lt;=$B138)*(TRANSAKSI_LOG!$F$2:$F$998&gt;=$B138),0),0)) &amp; " - " &amp; INDEX(TRANSAKSI_LOG!$H$2:$H$998,MATCH(1,INDEX((TRANSAKSI_LOG!$C$2:$C$998=$C$5)*(TRANSAKSI_LOG!$J$2:$J$998=G$7)*(TRANSAKSI_LOG!$E$2:$E$998&lt;=$B138)*(TRANSAKSI_LOG!$F$2:$F$998&gt;=$B138),0),0)),"")</f>
        <v/>
      </c>
      <c r="H138" s="66" t="str">
        <f t="array" ref="H138">IFERROR(INDEX(TRANSAKSI_LOG!$M$2:$M$998,MATCH(1,INDEX((TRANSAKSI_LOG!$C$2:$C$998=$C$5)*(TRANSAKSI_LOG!$J$2:$J$998=H$7)*(TRANSAKSI_LOG!$E$2:$E$998&lt;=$B138)*(TRANSAKSI_LOG!$F$2:$F$998&gt;=$B138),0),0)) &amp; " - " &amp; INDEX(TRANSAKSI_LOG!$H$2:$H$998,MATCH(1,INDEX((TRANSAKSI_LOG!$C$2:$C$998=$C$5)*(TRANSAKSI_LOG!$J$2:$J$998=H$7)*(TRANSAKSI_LOG!$E$2:$E$998&lt;=$B138)*(TRANSAKSI_LOG!$F$2:$F$998&gt;=$B138),0),0)),"")</f>
        <v/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13">
        <v>0.7881944444444444</v>
      </c>
      <c r="C139" s="66" t="str">
        <f t="array" ref="C139">IFERROR(INDEX(TRANSAKSI_LOG!$M$2:$M$998,MATCH(1,INDEX((TRANSAKSI_LOG!$C$2:$C$998=$C$5)*(TRANSAKSI_LOG!$J$2:$J$998=C$7)*(TRANSAKSI_LOG!$E$2:$E$998&lt;=$B139)*(TRANSAKSI_LOG!$F$2:$F$998&gt;=$B139),0),0)) &amp; " - " &amp; INDEX(TRANSAKSI_LOG!$H$2:$H$998,MATCH(1,INDEX((TRANSAKSI_LOG!$C$2:$C$998=$C$5)*(TRANSAKSI_LOG!$J$2:$J$998=C$7)*(TRANSAKSI_LOG!$E$2:$E$998&lt;=$B139)*(TRANSAKSI_LOG!$F$2:$F$998&gt;=$B139),0),0)),"")</f>
        <v/>
      </c>
      <c r="D139" s="66" t="str">
        <f t="array" ref="D139">IFERROR(INDEX(TRANSAKSI_LOG!$M$2:$M$998,MATCH(1,INDEX((TRANSAKSI_LOG!$C$2:$C$998=$C$5)*(TRANSAKSI_LOG!$J$2:$J$998=D$7)*(TRANSAKSI_LOG!$E$2:$E$998&lt;=$B139)*(TRANSAKSI_LOG!$F$2:$F$998&gt;=$B139),0),0)) &amp; " - " &amp; INDEX(TRANSAKSI_LOG!$H$2:$H$998,MATCH(1,INDEX((TRANSAKSI_LOG!$C$2:$C$998=$C$5)*(TRANSAKSI_LOG!$J$2:$J$998=D$7)*(TRANSAKSI_LOG!$E$2:$E$998&lt;=$B139)*(TRANSAKSI_LOG!$F$2:$F$998&gt;=$B139),0),0)),"")</f>
        <v/>
      </c>
      <c r="E139" s="66" t="str">
        <f t="array" ref="E139">IFERROR(INDEX(TRANSAKSI_LOG!$M$2:$M$998,MATCH(1,INDEX((TRANSAKSI_LOG!$C$2:$C$998=$C$5)*(TRANSAKSI_LOG!$J$2:$J$998=E$7)*(TRANSAKSI_LOG!$E$2:$E$998&lt;=$B139)*(TRANSAKSI_LOG!$F$2:$F$998&gt;=$B139),0),0)) &amp; " - " &amp; INDEX(TRANSAKSI_LOG!$H$2:$H$998,MATCH(1,INDEX((TRANSAKSI_LOG!$C$2:$C$998=$C$5)*(TRANSAKSI_LOG!$J$2:$J$998=E$7)*(TRANSAKSI_LOG!$E$2:$E$998&lt;=$B139)*(TRANSAKSI_LOG!$F$2:$F$998&gt;=$B139),0),0)),"")</f>
        <v/>
      </c>
      <c r="F139" s="66" t="str">
        <f t="array" ref="F139">IFERROR(INDEX(TRANSAKSI_LOG!$M$2:$M$998,MATCH(1,INDEX((TRANSAKSI_LOG!$C$2:$C$998=$C$5)*(TRANSAKSI_LOG!$J$2:$J$998=F$7)*(TRANSAKSI_LOG!$E$2:$E$998&lt;=$B139)*(TRANSAKSI_LOG!$F$2:$F$998&gt;=$B139),0),0)) &amp; " - " &amp; INDEX(TRANSAKSI_LOG!$H$2:$H$998,MATCH(1,INDEX((TRANSAKSI_LOG!$C$2:$C$998=$C$5)*(TRANSAKSI_LOG!$J$2:$J$998=F$7)*(TRANSAKSI_LOG!$E$2:$E$998&lt;=$B139)*(TRANSAKSI_LOG!$F$2:$F$998&gt;=$B139),0),0)),"")</f>
        <v/>
      </c>
      <c r="G139" s="66" t="str">
        <f t="array" ref="G139">IFERROR(INDEX(TRANSAKSI_LOG!$M$2:$M$998,MATCH(1,INDEX((TRANSAKSI_LOG!$C$2:$C$998=$C$5)*(TRANSAKSI_LOG!$J$2:$J$998=G$7)*(TRANSAKSI_LOG!$E$2:$E$998&lt;=$B139)*(TRANSAKSI_LOG!$F$2:$F$998&gt;=$B139),0),0)) &amp; " - " &amp; INDEX(TRANSAKSI_LOG!$H$2:$H$998,MATCH(1,INDEX((TRANSAKSI_LOG!$C$2:$C$998=$C$5)*(TRANSAKSI_LOG!$J$2:$J$998=G$7)*(TRANSAKSI_LOG!$E$2:$E$998&lt;=$B139)*(TRANSAKSI_LOG!$F$2:$F$998&gt;=$B139),0),0)),"")</f>
        <v/>
      </c>
      <c r="H139" s="66" t="str">
        <f t="array" ref="H139">IFERROR(INDEX(TRANSAKSI_LOG!$M$2:$M$998,MATCH(1,INDEX((TRANSAKSI_LOG!$C$2:$C$998=$C$5)*(TRANSAKSI_LOG!$J$2:$J$998=H$7)*(TRANSAKSI_LOG!$E$2:$E$998&lt;=$B139)*(TRANSAKSI_LOG!$F$2:$F$998&gt;=$B139),0),0)) &amp; " - " &amp; INDEX(TRANSAKSI_LOG!$H$2:$H$998,MATCH(1,INDEX((TRANSAKSI_LOG!$C$2:$C$998=$C$5)*(TRANSAKSI_LOG!$J$2:$J$998=H$7)*(TRANSAKSI_LOG!$E$2:$E$998&lt;=$B139)*(TRANSAKSI_LOG!$F$2:$F$998&gt;=$B139),0),0)),"")</f>
        <v/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13">
        <v>0.7916666666666666</v>
      </c>
      <c r="C140" s="66" t="str">
        <f t="array" ref="C140">IFERROR(INDEX(TRANSAKSI_LOG!$M$2:$M$998,MATCH(1,INDEX((TRANSAKSI_LOG!$C$2:$C$998=$C$5)*(TRANSAKSI_LOG!$J$2:$J$998=C$7)*(TRANSAKSI_LOG!$E$2:$E$998&lt;=$B140)*(TRANSAKSI_LOG!$F$2:$F$998&gt;=$B140),0),0)) &amp; " - " &amp; INDEX(TRANSAKSI_LOG!$H$2:$H$998,MATCH(1,INDEX((TRANSAKSI_LOG!$C$2:$C$998=$C$5)*(TRANSAKSI_LOG!$J$2:$J$998=C$7)*(TRANSAKSI_LOG!$E$2:$E$998&lt;=$B140)*(TRANSAKSI_LOG!$F$2:$F$998&gt;=$B140),0),0)),"")</f>
        <v/>
      </c>
      <c r="D140" s="66" t="str">
        <f t="array" ref="D140">IFERROR(INDEX(TRANSAKSI_LOG!$M$2:$M$998,MATCH(1,INDEX((TRANSAKSI_LOG!$C$2:$C$998=$C$5)*(TRANSAKSI_LOG!$J$2:$J$998=D$7)*(TRANSAKSI_LOG!$E$2:$E$998&lt;=$B140)*(TRANSAKSI_LOG!$F$2:$F$998&gt;=$B140),0),0)) &amp; " - " &amp; INDEX(TRANSAKSI_LOG!$H$2:$H$998,MATCH(1,INDEX((TRANSAKSI_LOG!$C$2:$C$998=$C$5)*(TRANSAKSI_LOG!$J$2:$J$998=D$7)*(TRANSAKSI_LOG!$E$2:$E$998&lt;=$B140)*(TRANSAKSI_LOG!$F$2:$F$998&gt;=$B140),0),0)),"")</f>
        <v/>
      </c>
      <c r="E140" s="66" t="str">
        <f t="array" ref="E140">IFERROR(INDEX(TRANSAKSI_LOG!$M$2:$M$998,MATCH(1,INDEX((TRANSAKSI_LOG!$C$2:$C$998=$C$5)*(TRANSAKSI_LOG!$J$2:$J$998=E$7)*(TRANSAKSI_LOG!$E$2:$E$998&lt;=$B140)*(TRANSAKSI_LOG!$F$2:$F$998&gt;=$B140),0),0)) &amp; " - " &amp; INDEX(TRANSAKSI_LOG!$H$2:$H$998,MATCH(1,INDEX((TRANSAKSI_LOG!$C$2:$C$998=$C$5)*(TRANSAKSI_LOG!$J$2:$J$998=E$7)*(TRANSAKSI_LOG!$E$2:$E$998&lt;=$B140)*(TRANSAKSI_LOG!$F$2:$F$998&gt;=$B140),0),0)),"")</f>
        <v/>
      </c>
      <c r="F140" s="66" t="str">
        <f t="array" ref="F140">IFERROR(INDEX(TRANSAKSI_LOG!$M$2:$M$998,MATCH(1,INDEX((TRANSAKSI_LOG!$C$2:$C$998=$C$5)*(TRANSAKSI_LOG!$J$2:$J$998=F$7)*(TRANSAKSI_LOG!$E$2:$E$998&lt;=$B140)*(TRANSAKSI_LOG!$F$2:$F$998&gt;=$B140),0),0)) &amp; " - " &amp; INDEX(TRANSAKSI_LOG!$H$2:$H$998,MATCH(1,INDEX((TRANSAKSI_LOG!$C$2:$C$998=$C$5)*(TRANSAKSI_LOG!$J$2:$J$998=F$7)*(TRANSAKSI_LOG!$E$2:$E$998&lt;=$B140)*(TRANSAKSI_LOG!$F$2:$F$998&gt;=$B140),0),0)),"")</f>
        <v/>
      </c>
      <c r="G140" s="66" t="str">
        <f t="array" ref="G140">IFERROR(INDEX(TRANSAKSI_LOG!$M$2:$M$998,MATCH(1,INDEX((TRANSAKSI_LOG!$C$2:$C$998=$C$5)*(TRANSAKSI_LOG!$J$2:$J$998=G$7)*(TRANSAKSI_LOG!$E$2:$E$998&lt;=$B140)*(TRANSAKSI_LOG!$F$2:$F$998&gt;=$B140),0),0)) &amp; " - " &amp; INDEX(TRANSAKSI_LOG!$H$2:$H$998,MATCH(1,INDEX((TRANSAKSI_LOG!$C$2:$C$998=$C$5)*(TRANSAKSI_LOG!$J$2:$J$998=G$7)*(TRANSAKSI_LOG!$E$2:$E$998&lt;=$B140)*(TRANSAKSI_LOG!$F$2:$F$998&gt;=$B140),0),0)),"")</f>
        <v/>
      </c>
      <c r="H140" s="66" t="str">
        <f t="array" ref="H140">IFERROR(INDEX(TRANSAKSI_LOG!$M$2:$M$998,MATCH(1,INDEX((TRANSAKSI_LOG!$C$2:$C$998=$C$5)*(TRANSAKSI_LOG!$J$2:$J$998=H$7)*(TRANSAKSI_LOG!$E$2:$E$998&lt;=$B140)*(TRANSAKSI_LOG!$F$2:$F$998&gt;=$B140),0),0)) &amp; " - " &amp; INDEX(TRANSAKSI_LOG!$H$2:$H$998,MATCH(1,INDEX((TRANSAKSI_LOG!$C$2:$C$998=$C$5)*(TRANSAKSI_LOG!$J$2:$J$998=H$7)*(TRANSAKSI_LOG!$E$2:$E$998&lt;=$B140)*(TRANSAKSI_LOG!$F$2:$F$998&gt;=$B140),0),0)),"")</f>
        <v/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13">
        <v>0.7951388888888888</v>
      </c>
      <c r="C141" s="66" t="str">
        <f t="array" ref="C141">IFERROR(INDEX(TRANSAKSI_LOG!$M$2:$M$998,MATCH(1,INDEX((TRANSAKSI_LOG!$C$2:$C$998=$C$5)*(TRANSAKSI_LOG!$J$2:$J$998=C$7)*(TRANSAKSI_LOG!$E$2:$E$998&lt;=$B141)*(TRANSAKSI_LOG!$F$2:$F$998&gt;=$B141),0),0)) &amp; " - " &amp; INDEX(TRANSAKSI_LOG!$H$2:$H$998,MATCH(1,INDEX((TRANSAKSI_LOG!$C$2:$C$998=$C$5)*(TRANSAKSI_LOG!$J$2:$J$998=C$7)*(TRANSAKSI_LOG!$E$2:$E$998&lt;=$B141)*(TRANSAKSI_LOG!$F$2:$F$998&gt;=$B141),0),0)),"")</f>
        <v/>
      </c>
      <c r="D141" s="66" t="str">
        <f t="array" ref="D141">IFERROR(INDEX(TRANSAKSI_LOG!$M$2:$M$998,MATCH(1,INDEX((TRANSAKSI_LOG!$C$2:$C$998=$C$5)*(TRANSAKSI_LOG!$J$2:$J$998=D$7)*(TRANSAKSI_LOG!$E$2:$E$998&lt;=$B141)*(TRANSAKSI_LOG!$F$2:$F$998&gt;=$B141),0),0)) &amp; " - " &amp; INDEX(TRANSAKSI_LOG!$H$2:$H$998,MATCH(1,INDEX((TRANSAKSI_LOG!$C$2:$C$998=$C$5)*(TRANSAKSI_LOG!$J$2:$J$998=D$7)*(TRANSAKSI_LOG!$E$2:$E$998&lt;=$B141)*(TRANSAKSI_LOG!$F$2:$F$998&gt;=$B141),0),0)),"")</f>
        <v/>
      </c>
      <c r="E141" s="66" t="str">
        <f t="array" ref="E141">IFERROR(INDEX(TRANSAKSI_LOG!$M$2:$M$998,MATCH(1,INDEX((TRANSAKSI_LOG!$C$2:$C$998=$C$5)*(TRANSAKSI_LOG!$J$2:$J$998=E$7)*(TRANSAKSI_LOG!$E$2:$E$998&lt;=$B141)*(TRANSAKSI_LOG!$F$2:$F$998&gt;=$B141),0),0)) &amp; " - " &amp; INDEX(TRANSAKSI_LOG!$H$2:$H$998,MATCH(1,INDEX((TRANSAKSI_LOG!$C$2:$C$998=$C$5)*(TRANSAKSI_LOG!$J$2:$J$998=E$7)*(TRANSAKSI_LOG!$E$2:$E$998&lt;=$B141)*(TRANSAKSI_LOG!$F$2:$F$998&gt;=$B141),0),0)),"")</f>
        <v/>
      </c>
      <c r="F141" s="66" t="str">
        <f t="array" ref="F141">IFERROR(INDEX(TRANSAKSI_LOG!$M$2:$M$998,MATCH(1,INDEX((TRANSAKSI_LOG!$C$2:$C$998=$C$5)*(TRANSAKSI_LOG!$J$2:$J$998=F$7)*(TRANSAKSI_LOG!$E$2:$E$998&lt;=$B141)*(TRANSAKSI_LOG!$F$2:$F$998&gt;=$B141),0),0)) &amp; " - " &amp; INDEX(TRANSAKSI_LOG!$H$2:$H$998,MATCH(1,INDEX((TRANSAKSI_LOG!$C$2:$C$998=$C$5)*(TRANSAKSI_LOG!$J$2:$J$998=F$7)*(TRANSAKSI_LOG!$E$2:$E$998&lt;=$B141)*(TRANSAKSI_LOG!$F$2:$F$998&gt;=$B141),0),0)),"")</f>
        <v/>
      </c>
      <c r="G141" s="66" t="str">
        <f t="array" ref="G141">IFERROR(INDEX(TRANSAKSI_LOG!$M$2:$M$998,MATCH(1,INDEX((TRANSAKSI_LOG!$C$2:$C$998=$C$5)*(TRANSAKSI_LOG!$J$2:$J$998=G$7)*(TRANSAKSI_LOG!$E$2:$E$998&lt;=$B141)*(TRANSAKSI_LOG!$F$2:$F$998&gt;=$B141),0),0)) &amp; " - " &amp; INDEX(TRANSAKSI_LOG!$H$2:$H$998,MATCH(1,INDEX((TRANSAKSI_LOG!$C$2:$C$998=$C$5)*(TRANSAKSI_LOG!$J$2:$J$998=G$7)*(TRANSAKSI_LOG!$E$2:$E$998&lt;=$B141)*(TRANSAKSI_LOG!$F$2:$F$998&gt;=$B141),0),0)),"")</f>
        <v/>
      </c>
      <c r="H141" s="66" t="str">
        <f t="array" ref="H141">IFERROR(INDEX(TRANSAKSI_LOG!$M$2:$M$998,MATCH(1,INDEX((TRANSAKSI_LOG!$C$2:$C$998=$C$5)*(TRANSAKSI_LOG!$J$2:$J$998=H$7)*(TRANSAKSI_LOG!$E$2:$E$998&lt;=$B141)*(TRANSAKSI_LOG!$F$2:$F$998&gt;=$B141),0),0)) &amp; " - " &amp; INDEX(TRANSAKSI_LOG!$H$2:$H$998,MATCH(1,INDEX((TRANSAKSI_LOG!$C$2:$C$998=$C$5)*(TRANSAKSI_LOG!$J$2:$J$998=H$7)*(TRANSAKSI_LOG!$E$2:$E$998&lt;=$B141)*(TRANSAKSI_LOG!$F$2:$F$998&gt;=$B141),0),0)),"")</f>
        <v/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13">
        <v>0.7986111111111112</v>
      </c>
      <c r="C142" s="66" t="str">
        <f t="array" ref="C142">IFERROR(INDEX(TRANSAKSI_LOG!$M$2:$M$998,MATCH(1,INDEX((TRANSAKSI_LOG!$C$2:$C$998=$C$5)*(TRANSAKSI_LOG!$J$2:$J$998=C$7)*(TRANSAKSI_LOG!$E$2:$E$998&lt;=$B142)*(TRANSAKSI_LOG!$F$2:$F$998&gt;=$B142),0),0)) &amp; " - " &amp; INDEX(TRANSAKSI_LOG!$H$2:$H$998,MATCH(1,INDEX((TRANSAKSI_LOG!$C$2:$C$998=$C$5)*(TRANSAKSI_LOG!$J$2:$J$998=C$7)*(TRANSAKSI_LOG!$E$2:$E$998&lt;=$B142)*(TRANSAKSI_LOG!$F$2:$F$998&gt;=$B142),0),0)),"")</f>
        <v/>
      </c>
      <c r="D142" s="66" t="str">
        <f t="array" ref="D142">IFERROR(INDEX(TRANSAKSI_LOG!$M$2:$M$998,MATCH(1,INDEX((TRANSAKSI_LOG!$C$2:$C$998=$C$5)*(TRANSAKSI_LOG!$J$2:$J$998=D$7)*(TRANSAKSI_LOG!$E$2:$E$998&lt;=$B142)*(TRANSAKSI_LOG!$F$2:$F$998&gt;=$B142),0),0)) &amp; " - " &amp; INDEX(TRANSAKSI_LOG!$H$2:$H$998,MATCH(1,INDEX((TRANSAKSI_LOG!$C$2:$C$998=$C$5)*(TRANSAKSI_LOG!$J$2:$J$998=D$7)*(TRANSAKSI_LOG!$E$2:$E$998&lt;=$B142)*(TRANSAKSI_LOG!$F$2:$F$998&gt;=$B142),0),0)),"")</f>
        <v/>
      </c>
      <c r="E142" s="66" t="str">
        <f t="array" ref="E142">IFERROR(INDEX(TRANSAKSI_LOG!$M$2:$M$998,MATCH(1,INDEX((TRANSAKSI_LOG!$C$2:$C$998=$C$5)*(TRANSAKSI_LOG!$J$2:$J$998=E$7)*(TRANSAKSI_LOG!$E$2:$E$998&lt;=$B142)*(TRANSAKSI_LOG!$F$2:$F$998&gt;=$B142),0),0)) &amp; " - " &amp; INDEX(TRANSAKSI_LOG!$H$2:$H$998,MATCH(1,INDEX((TRANSAKSI_LOG!$C$2:$C$998=$C$5)*(TRANSAKSI_LOG!$J$2:$J$998=E$7)*(TRANSAKSI_LOG!$E$2:$E$998&lt;=$B142)*(TRANSAKSI_LOG!$F$2:$F$998&gt;=$B142),0),0)),"")</f>
        <v/>
      </c>
      <c r="F142" s="66" t="str">
        <f t="array" ref="F142">IFERROR(INDEX(TRANSAKSI_LOG!$M$2:$M$998,MATCH(1,INDEX((TRANSAKSI_LOG!$C$2:$C$998=$C$5)*(TRANSAKSI_LOG!$J$2:$J$998=F$7)*(TRANSAKSI_LOG!$E$2:$E$998&lt;=$B142)*(TRANSAKSI_LOG!$F$2:$F$998&gt;=$B142),0),0)) &amp; " - " &amp; INDEX(TRANSAKSI_LOG!$H$2:$H$998,MATCH(1,INDEX((TRANSAKSI_LOG!$C$2:$C$998=$C$5)*(TRANSAKSI_LOG!$J$2:$J$998=F$7)*(TRANSAKSI_LOG!$E$2:$E$998&lt;=$B142)*(TRANSAKSI_LOG!$F$2:$F$998&gt;=$B142),0),0)),"")</f>
        <v/>
      </c>
      <c r="G142" s="66" t="str">
        <f t="array" ref="G142">IFERROR(INDEX(TRANSAKSI_LOG!$M$2:$M$998,MATCH(1,INDEX((TRANSAKSI_LOG!$C$2:$C$998=$C$5)*(TRANSAKSI_LOG!$J$2:$J$998=G$7)*(TRANSAKSI_LOG!$E$2:$E$998&lt;=$B142)*(TRANSAKSI_LOG!$F$2:$F$998&gt;=$B142),0),0)) &amp; " - " &amp; INDEX(TRANSAKSI_LOG!$H$2:$H$998,MATCH(1,INDEX((TRANSAKSI_LOG!$C$2:$C$998=$C$5)*(TRANSAKSI_LOG!$J$2:$J$998=G$7)*(TRANSAKSI_LOG!$E$2:$E$998&lt;=$B142)*(TRANSAKSI_LOG!$F$2:$F$998&gt;=$B142),0),0)),"")</f>
        <v/>
      </c>
      <c r="H142" s="66" t="str">
        <f t="array" ref="H142">IFERROR(INDEX(TRANSAKSI_LOG!$M$2:$M$998,MATCH(1,INDEX((TRANSAKSI_LOG!$C$2:$C$998=$C$5)*(TRANSAKSI_LOG!$J$2:$J$998=H$7)*(TRANSAKSI_LOG!$E$2:$E$998&lt;=$B142)*(TRANSAKSI_LOG!$F$2:$F$998&gt;=$B142),0),0)) &amp; " - " &amp; INDEX(TRANSAKSI_LOG!$H$2:$H$998,MATCH(1,INDEX((TRANSAKSI_LOG!$C$2:$C$998=$C$5)*(TRANSAKSI_LOG!$J$2:$J$998=H$7)*(TRANSAKSI_LOG!$E$2:$E$998&lt;=$B142)*(TRANSAKSI_LOG!$F$2:$F$998&gt;=$B142),0),0)),"")</f>
        <v/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13">
        <v>0.8020833333333334</v>
      </c>
      <c r="C143" s="66" t="str">
        <f t="array" ref="C143">IFERROR(INDEX(TRANSAKSI_LOG!$M$2:$M$998,MATCH(1,INDEX((TRANSAKSI_LOG!$C$2:$C$998=$C$5)*(TRANSAKSI_LOG!$J$2:$J$998=C$7)*(TRANSAKSI_LOG!$E$2:$E$998&lt;=$B143)*(TRANSAKSI_LOG!$F$2:$F$998&gt;=$B143),0),0)) &amp; " - " &amp; INDEX(TRANSAKSI_LOG!$H$2:$H$998,MATCH(1,INDEX((TRANSAKSI_LOG!$C$2:$C$998=$C$5)*(TRANSAKSI_LOG!$J$2:$J$998=C$7)*(TRANSAKSI_LOG!$E$2:$E$998&lt;=$B143)*(TRANSAKSI_LOG!$F$2:$F$998&gt;=$B143),0),0)),"")</f>
        <v/>
      </c>
      <c r="D143" s="66" t="str">
        <f t="array" ref="D143">IFERROR(INDEX(TRANSAKSI_LOG!$M$2:$M$998,MATCH(1,INDEX((TRANSAKSI_LOG!$C$2:$C$998=$C$5)*(TRANSAKSI_LOG!$J$2:$J$998=D$7)*(TRANSAKSI_LOG!$E$2:$E$998&lt;=$B143)*(TRANSAKSI_LOG!$F$2:$F$998&gt;=$B143),0),0)) &amp; " - " &amp; INDEX(TRANSAKSI_LOG!$H$2:$H$998,MATCH(1,INDEX((TRANSAKSI_LOG!$C$2:$C$998=$C$5)*(TRANSAKSI_LOG!$J$2:$J$998=D$7)*(TRANSAKSI_LOG!$E$2:$E$998&lt;=$B143)*(TRANSAKSI_LOG!$F$2:$F$998&gt;=$B143),0),0)),"")</f>
        <v/>
      </c>
      <c r="E143" s="66" t="str">
        <f t="array" ref="E143">IFERROR(INDEX(TRANSAKSI_LOG!$M$2:$M$998,MATCH(1,INDEX((TRANSAKSI_LOG!$C$2:$C$998=$C$5)*(TRANSAKSI_LOG!$J$2:$J$998=E$7)*(TRANSAKSI_LOG!$E$2:$E$998&lt;=$B143)*(TRANSAKSI_LOG!$F$2:$F$998&gt;=$B143),0),0)) &amp; " - " &amp; INDEX(TRANSAKSI_LOG!$H$2:$H$998,MATCH(1,INDEX((TRANSAKSI_LOG!$C$2:$C$998=$C$5)*(TRANSAKSI_LOG!$J$2:$J$998=E$7)*(TRANSAKSI_LOG!$E$2:$E$998&lt;=$B143)*(TRANSAKSI_LOG!$F$2:$F$998&gt;=$B143),0),0)),"")</f>
        <v/>
      </c>
      <c r="F143" s="66" t="str">
        <f t="array" ref="F143">IFERROR(INDEX(TRANSAKSI_LOG!$M$2:$M$998,MATCH(1,INDEX((TRANSAKSI_LOG!$C$2:$C$998=$C$5)*(TRANSAKSI_LOG!$J$2:$J$998=F$7)*(TRANSAKSI_LOG!$E$2:$E$998&lt;=$B143)*(TRANSAKSI_LOG!$F$2:$F$998&gt;=$B143),0),0)) &amp; " - " &amp; INDEX(TRANSAKSI_LOG!$H$2:$H$998,MATCH(1,INDEX((TRANSAKSI_LOG!$C$2:$C$998=$C$5)*(TRANSAKSI_LOG!$J$2:$J$998=F$7)*(TRANSAKSI_LOG!$E$2:$E$998&lt;=$B143)*(TRANSAKSI_LOG!$F$2:$F$998&gt;=$B143),0),0)),"")</f>
        <v/>
      </c>
      <c r="G143" s="66" t="str">
        <f t="array" ref="G143">IFERROR(INDEX(TRANSAKSI_LOG!$M$2:$M$998,MATCH(1,INDEX((TRANSAKSI_LOG!$C$2:$C$998=$C$5)*(TRANSAKSI_LOG!$J$2:$J$998=G$7)*(TRANSAKSI_LOG!$E$2:$E$998&lt;=$B143)*(TRANSAKSI_LOG!$F$2:$F$998&gt;=$B143),0),0)) &amp; " - " &amp; INDEX(TRANSAKSI_LOG!$H$2:$H$998,MATCH(1,INDEX((TRANSAKSI_LOG!$C$2:$C$998=$C$5)*(TRANSAKSI_LOG!$J$2:$J$998=G$7)*(TRANSAKSI_LOG!$E$2:$E$998&lt;=$B143)*(TRANSAKSI_LOG!$F$2:$F$998&gt;=$B143),0),0)),"")</f>
        <v/>
      </c>
      <c r="H143" s="66" t="str">
        <f t="array" ref="H143">IFERROR(INDEX(TRANSAKSI_LOG!$M$2:$M$998,MATCH(1,INDEX((TRANSAKSI_LOG!$C$2:$C$998=$C$5)*(TRANSAKSI_LOG!$J$2:$J$998=H$7)*(TRANSAKSI_LOG!$E$2:$E$998&lt;=$B143)*(TRANSAKSI_LOG!$F$2:$F$998&gt;=$B143),0),0)) &amp; " - " &amp; INDEX(TRANSAKSI_LOG!$H$2:$H$998,MATCH(1,INDEX((TRANSAKSI_LOG!$C$2:$C$998=$C$5)*(TRANSAKSI_LOG!$J$2:$J$998=H$7)*(TRANSAKSI_LOG!$E$2:$E$998&lt;=$B143)*(TRANSAKSI_LOG!$F$2:$F$998&gt;=$B143),0),0)),"")</f>
        <v/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13">
        <v>0.8055555555555556</v>
      </c>
      <c r="C144" s="66" t="str">
        <f t="array" ref="C144">IFERROR(INDEX(TRANSAKSI_LOG!$M$2:$M$998,MATCH(1,INDEX((TRANSAKSI_LOG!$C$2:$C$998=$C$5)*(TRANSAKSI_LOG!$J$2:$J$998=C$7)*(TRANSAKSI_LOG!$E$2:$E$998&lt;=$B144)*(TRANSAKSI_LOG!$F$2:$F$998&gt;=$B144),0),0)) &amp; " - " &amp; INDEX(TRANSAKSI_LOG!$H$2:$H$998,MATCH(1,INDEX((TRANSAKSI_LOG!$C$2:$C$998=$C$5)*(TRANSAKSI_LOG!$J$2:$J$998=C$7)*(TRANSAKSI_LOG!$E$2:$E$998&lt;=$B144)*(TRANSAKSI_LOG!$F$2:$F$998&gt;=$B144),0),0)),"")</f>
        <v/>
      </c>
      <c r="D144" s="66" t="str">
        <f t="array" ref="D144">IFERROR(INDEX(TRANSAKSI_LOG!$M$2:$M$998,MATCH(1,INDEX((TRANSAKSI_LOG!$C$2:$C$998=$C$5)*(TRANSAKSI_LOG!$J$2:$J$998=D$7)*(TRANSAKSI_LOG!$E$2:$E$998&lt;=$B144)*(TRANSAKSI_LOG!$F$2:$F$998&gt;=$B144),0),0)) &amp; " - " &amp; INDEX(TRANSAKSI_LOG!$H$2:$H$998,MATCH(1,INDEX((TRANSAKSI_LOG!$C$2:$C$998=$C$5)*(TRANSAKSI_LOG!$J$2:$J$998=D$7)*(TRANSAKSI_LOG!$E$2:$E$998&lt;=$B144)*(TRANSAKSI_LOG!$F$2:$F$998&gt;=$B144),0),0)),"")</f>
        <v/>
      </c>
      <c r="E144" s="66" t="str">
        <f t="array" ref="E144">IFERROR(INDEX(TRANSAKSI_LOG!$M$2:$M$998,MATCH(1,INDEX((TRANSAKSI_LOG!$C$2:$C$998=$C$5)*(TRANSAKSI_LOG!$J$2:$J$998=E$7)*(TRANSAKSI_LOG!$E$2:$E$998&lt;=$B144)*(TRANSAKSI_LOG!$F$2:$F$998&gt;=$B144),0),0)) &amp; " - " &amp; INDEX(TRANSAKSI_LOG!$H$2:$H$998,MATCH(1,INDEX((TRANSAKSI_LOG!$C$2:$C$998=$C$5)*(TRANSAKSI_LOG!$J$2:$J$998=E$7)*(TRANSAKSI_LOG!$E$2:$E$998&lt;=$B144)*(TRANSAKSI_LOG!$F$2:$F$998&gt;=$B144),0),0)),"")</f>
        <v/>
      </c>
      <c r="F144" s="66" t="str">
        <f t="array" ref="F144">IFERROR(INDEX(TRANSAKSI_LOG!$M$2:$M$998,MATCH(1,INDEX((TRANSAKSI_LOG!$C$2:$C$998=$C$5)*(TRANSAKSI_LOG!$J$2:$J$998=F$7)*(TRANSAKSI_LOG!$E$2:$E$998&lt;=$B144)*(TRANSAKSI_LOG!$F$2:$F$998&gt;=$B144),0),0)) &amp; " - " &amp; INDEX(TRANSAKSI_LOG!$H$2:$H$998,MATCH(1,INDEX((TRANSAKSI_LOG!$C$2:$C$998=$C$5)*(TRANSAKSI_LOG!$J$2:$J$998=F$7)*(TRANSAKSI_LOG!$E$2:$E$998&lt;=$B144)*(TRANSAKSI_LOG!$F$2:$F$998&gt;=$B144),0),0)),"")</f>
        <v/>
      </c>
      <c r="G144" s="66" t="str">
        <f t="array" ref="G144">IFERROR(INDEX(TRANSAKSI_LOG!$M$2:$M$998,MATCH(1,INDEX((TRANSAKSI_LOG!$C$2:$C$998=$C$5)*(TRANSAKSI_LOG!$J$2:$J$998=G$7)*(TRANSAKSI_LOG!$E$2:$E$998&lt;=$B144)*(TRANSAKSI_LOG!$F$2:$F$998&gt;=$B144),0),0)) &amp; " - " &amp; INDEX(TRANSAKSI_LOG!$H$2:$H$998,MATCH(1,INDEX((TRANSAKSI_LOG!$C$2:$C$998=$C$5)*(TRANSAKSI_LOG!$J$2:$J$998=G$7)*(TRANSAKSI_LOG!$E$2:$E$998&lt;=$B144)*(TRANSAKSI_LOG!$F$2:$F$998&gt;=$B144),0),0)),"")</f>
        <v/>
      </c>
      <c r="H144" s="66" t="str">
        <f t="array" ref="H144">IFERROR(INDEX(TRANSAKSI_LOG!$M$2:$M$998,MATCH(1,INDEX((TRANSAKSI_LOG!$C$2:$C$998=$C$5)*(TRANSAKSI_LOG!$J$2:$J$998=H$7)*(TRANSAKSI_LOG!$E$2:$E$998&lt;=$B144)*(TRANSAKSI_LOG!$F$2:$F$998&gt;=$B144),0),0)) &amp; " - " &amp; INDEX(TRANSAKSI_LOG!$H$2:$H$998,MATCH(1,INDEX((TRANSAKSI_LOG!$C$2:$C$998=$C$5)*(TRANSAKSI_LOG!$J$2:$J$998=H$7)*(TRANSAKSI_LOG!$E$2:$E$998&lt;=$B144)*(TRANSAKSI_LOG!$F$2:$F$998&gt;=$B144),0),0)),"")</f>
        <v/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13">
        <v>0.8090277777777778</v>
      </c>
      <c r="C145" s="66" t="str">
        <f t="array" ref="C145">IFERROR(INDEX(TRANSAKSI_LOG!$M$2:$M$998,MATCH(1,INDEX((TRANSAKSI_LOG!$C$2:$C$998=$C$5)*(TRANSAKSI_LOG!$J$2:$J$998=C$7)*(TRANSAKSI_LOG!$E$2:$E$998&lt;=$B145)*(TRANSAKSI_LOG!$F$2:$F$998&gt;=$B145),0),0)) &amp; " - " &amp; INDEX(TRANSAKSI_LOG!$H$2:$H$998,MATCH(1,INDEX((TRANSAKSI_LOG!$C$2:$C$998=$C$5)*(TRANSAKSI_LOG!$J$2:$J$998=C$7)*(TRANSAKSI_LOG!$E$2:$E$998&lt;=$B145)*(TRANSAKSI_LOG!$F$2:$F$998&gt;=$B145),0),0)),"")</f>
        <v/>
      </c>
      <c r="D145" s="66" t="str">
        <f t="array" ref="D145">IFERROR(INDEX(TRANSAKSI_LOG!$M$2:$M$998,MATCH(1,INDEX((TRANSAKSI_LOG!$C$2:$C$998=$C$5)*(TRANSAKSI_LOG!$J$2:$J$998=D$7)*(TRANSAKSI_LOG!$E$2:$E$998&lt;=$B145)*(TRANSAKSI_LOG!$F$2:$F$998&gt;=$B145),0),0)) &amp; " - " &amp; INDEX(TRANSAKSI_LOG!$H$2:$H$998,MATCH(1,INDEX((TRANSAKSI_LOG!$C$2:$C$998=$C$5)*(TRANSAKSI_LOG!$J$2:$J$998=D$7)*(TRANSAKSI_LOG!$E$2:$E$998&lt;=$B145)*(TRANSAKSI_LOG!$F$2:$F$998&gt;=$B145),0),0)),"")</f>
        <v/>
      </c>
      <c r="E145" s="66" t="str">
        <f t="array" ref="E145">IFERROR(INDEX(TRANSAKSI_LOG!$M$2:$M$998,MATCH(1,INDEX((TRANSAKSI_LOG!$C$2:$C$998=$C$5)*(TRANSAKSI_LOG!$J$2:$J$998=E$7)*(TRANSAKSI_LOG!$E$2:$E$998&lt;=$B145)*(TRANSAKSI_LOG!$F$2:$F$998&gt;=$B145),0),0)) &amp; " - " &amp; INDEX(TRANSAKSI_LOG!$H$2:$H$998,MATCH(1,INDEX((TRANSAKSI_LOG!$C$2:$C$998=$C$5)*(TRANSAKSI_LOG!$J$2:$J$998=E$7)*(TRANSAKSI_LOG!$E$2:$E$998&lt;=$B145)*(TRANSAKSI_LOG!$F$2:$F$998&gt;=$B145),0),0)),"")</f>
        <v/>
      </c>
      <c r="F145" s="66" t="str">
        <f t="array" ref="F145">IFERROR(INDEX(TRANSAKSI_LOG!$M$2:$M$998,MATCH(1,INDEX((TRANSAKSI_LOG!$C$2:$C$998=$C$5)*(TRANSAKSI_LOG!$J$2:$J$998=F$7)*(TRANSAKSI_LOG!$E$2:$E$998&lt;=$B145)*(TRANSAKSI_LOG!$F$2:$F$998&gt;=$B145),0),0)) &amp; " - " &amp; INDEX(TRANSAKSI_LOG!$H$2:$H$998,MATCH(1,INDEX((TRANSAKSI_LOG!$C$2:$C$998=$C$5)*(TRANSAKSI_LOG!$J$2:$J$998=F$7)*(TRANSAKSI_LOG!$E$2:$E$998&lt;=$B145)*(TRANSAKSI_LOG!$F$2:$F$998&gt;=$B145),0),0)),"")</f>
        <v/>
      </c>
      <c r="G145" s="66" t="str">
        <f t="array" ref="G145">IFERROR(INDEX(TRANSAKSI_LOG!$M$2:$M$998,MATCH(1,INDEX((TRANSAKSI_LOG!$C$2:$C$998=$C$5)*(TRANSAKSI_LOG!$J$2:$J$998=G$7)*(TRANSAKSI_LOG!$E$2:$E$998&lt;=$B145)*(TRANSAKSI_LOG!$F$2:$F$998&gt;=$B145),0),0)) &amp; " - " &amp; INDEX(TRANSAKSI_LOG!$H$2:$H$998,MATCH(1,INDEX((TRANSAKSI_LOG!$C$2:$C$998=$C$5)*(TRANSAKSI_LOG!$J$2:$J$998=G$7)*(TRANSAKSI_LOG!$E$2:$E$998&lt;=$B145)*(TRANSAKSI_LOG!$F$2:$F$998&gt;=$B145),0),0)),"")</f>
        <v/>
      </c>
      <c r="H145" s="66" t="str">
        <f t="array" ref="H145">IFERROR(INDEX(TRANSAKSI_LOG!$M$2:$M$998,MATCH(1,INDEX((TRANSAKSI_LOG!$C$2:$C$998=$C$5)*(TRANSAKSI_LOG!$J$2:$J$998=H$7)*(TRANSAKSI_LOG!$E$2:$E$998&lt;=$B145)*(TRANSAKSI_LOG!$F$2:$F$998&gt;=$B145),0),0)) &amp; " - " &amp; INDEX(TRANSAKSI_LOG!$H$2:$H$998,MATCH(1,INDEX((TRANSAKSI_LOG!$C$2:$C$998=$C$5)*(TRANSAKSI_LOG!$J$2:$J$998=H$7)*(TRANSAKSI_LOG!$E$2:$E$998&lt;=$B145)*(TRANSAKSI_LOG!$F$2:$F$998&gt;=$B145),0),0)),"")</f>
        <v/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13">
        <v>0.8125</v>
      </c>
      <c r="C146" s="66" t="str">
        <f t="array" ref="C146">IFERROR(INDEX(TRANSAKSI_LOG!$M$2:$M$998,MATCH(1,INDEX((TRANSAKSI_LOG!$C$2:$C$998=$C$5)*(TRANSAKSI_LOG!$J$2:$J$998=C$7)*(TRANSAKSI_LOG!$E$2:$E$998&lt;=$B146)*(TRANSAKSI_LOG!$F$2:$F$998&gt;=$B146),0),0)) &amp; " - " &amp; INDEX(TRANSAKSI_LOG!$H$2:$H$998,MATCH(1,INDEX((TRANSAKSI_LOG!$C$2:$C$998=$C$5)*(TRANSAKSI_LOG!$J$2:$J$998=C$7)*(TRANSAKSI_LOG!$E$2:$E$998&lt;=$B146)*(TRANSAKSI_LOG!$F$2:$F$998&gt;=$B146),0),0)),"")</f>
        <v/>
      </c>
      <c r="D146" s="66" t="str">
        <f t="array" ref="D146">IFERROR(INDEX(TRANSAKSI_LOG!$M$2:$M$998,MATCH(1,INDEX((TRANSAKSI_LOG!$C$2:$C$998=$C$5)*(TRANSAKSI_LOG!$J$2:$J$998=D$7)*(TRANSAKSI_LOG!$E$2:$E$998&lt;=$B146)*(TRANSAKSI_LOG!$F$2:$F$998&gt;=$B146),0),0)) &amp; " - " &amp; INDEX(TRANSAKSI_LOG!$H$2:$H$998,MATCH(1,INDEX((TRANSAKSI_LOG!$C$2:$C$998=$C$5)*(TRANSAKSI_LOG!$J$2:$J$998=D$7)*(TRANSAKSI_LOG!$E$2:$E$998&lt;=$B146)*(TRANSAKSI_LOG!$F$2:$F$998&gt;=$B146),0),0)),"")</f>
        <v/>
      </c>
      <c r="E146" s="66" t="str">
        <f t="array" ref="E146">IFERROR(INDEX(TRANSAKSI_LOG!$M$2:$M$998,MATCH(1,INDEX((TRANSAKSI_LOG!$C$2:$C$998=$C$5)*(TRANSAKSI_LOG!$J$2:$J$998=E$7)*(TRANSAKSI_LOG!$E$2:$E$998&lt;=$B146)*(TRANSAKSI_LOG!$F$2:$F$998&gt;=$B146),0),0)) &amp; " - " &amp; INDEX(TRANSAKSI_LOG!$H$2:$H$998,MATCH(1,INDEX((TRANSAKSI_LOG!$C$2:$C$998=$C$5)*(TRANSAKSI_LOG!$J$2:$J$998=E$7)*(TRANSAKSI_LOG!$E$2:$E$998&lt;=$B146)*(TRANSAKSI_LOG!$F$2:$F$998&gt;=$B146),0),0)),"")</f>
        <v/>
      </c>
      <c r="F146" s="66" t="str">
        <f t="array" ref="F146">IFERROR(INDEX(TRANSAKSI_LOG!$M$2:$M$998,MATCH(1,INDEX((TRANSAKSI_LOG!$C$2:$C$998=$C$5)*(TRANSAKSI_LOG!$J$2:$J$998=F$7)*(TRANSAKSI_LOG!$E$2:$E$998&lt;=$B146)*(TRANSAKSI_LOG!$F$2:$F$998&gt;=$B146),0),0)) &amp; " - " &amp; INDEX(TRANSAKSI_LOG!$H$2:$H$998,MATCH(1,INDEX((TRANSAKSI_LOG!$C$2:$C$998=$C$5)*(TRANSAKSI_LOG!$J$2:$J$998=F$7)*(TRANSAKSI_LOG!$E$2:$E$998&lt;=$B146)*(TRANSAKSI_LOG!$F$2:$F$998&gt;=$B146),0),0)),"")</f>
        <v/>
      </c>
      <c r="G146" s="66" t="str">
        <f t="array" ref="G146">IFERROR(INDEX(TRANSAKSI_LOG!$M$2:$M$998,MATCH(1,INDEX((TRANSAKSI_LOG!$C$2:$C$998=$C$5)*(TRANSAKSI_LOG!$J$2:$J$998=G$7)*(TRANSAKSI_LOG!$E$2:$E$998&lt;=$B146)*(TRANSAKSI_LOG!$F$2:$F$998&gt;=$B146),0),0)) &amp; " - " &amp; INDEX(TRANSAKSI_LOG!$H$2:$H$998,MATCH(1,INDEX((TRANSAKSI_LOG!$C$2:$C$998=$C$5)*(TRANSAKSI_LOG!$J$2:$J$998=G$7)*(TRANSAKSI_LOG!$E$2:$E$998&lt;=$B146)*(TRANSAKSI_LOG!$F$2:$F$998&gt;=$B146),0),0)),"")</f>
        <v/>
      </c>
      <c r="H146" s="66" t="str">
        <f t="array" ref="H146">IFERROR(INDEX(TRANSAKSI_LOG!$M$2:$M$998,MATCH(1,INDEX((TRANSAKSI_LOG!$C$2:$C$998=$C$5)*(TRANSAKSI_LOG!$J$2:$J$998=H$7)*(TRANSAKSI_LOG!$E$2:$E$998&lt;=$B146)*(TRANSAKSI_LOG!$F$2:$F$998&gt;=$B146),0),0)) &amp; " - " &amp; INDEX(TRANSAKSI_LOG!$H$2:$H$998,MATCH(1,INDEX((TRANSAKSI_LOG!$C$2:$C$998=$C$5)*(TRANSAKSI_LOG!$J$2:$J$998=H$7)*(TRANSAKSI_LOG!$E$2:$E$998&lt;=$B146)*(TRANSAKSI_LOG!$F$2:$F$998&gt;=$B146),0),0)),"")</f>
        <v/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13">
        <v>0.8159722222222222</v>
      </c>
      <c r="C147" s="66" t="str">
        <f t="array" ref="C147">IFERROR(INDEX(TRANSAKSI_LOG!$M$2:$M$998,MATCH(1,INDEX((TRANSAKSI_LOG!$C$2:$C$998=$C$5)*(TRANSAKSI_LOG!$J$2:$J$998=C$7)*(TRANSAKSI_LOG!$E$2:$E$998&lt;=$B147)*(TRANSAKSI_LOG!$F$2:$F$998&gt;=$B147),0),0)) &amp; " - " &amp; INDEX(TRANSAKSI_LOG!$H$2:$H$998,MATCH(1,INDEX((TRANSAKSI_LOG!$C$2:$C$998=$C$5)*(TRANSAKSI_LOG!$J$2:$J$998=C$7)*(TRANSAKSI_LOG!$E$2:$E$998&lt;=$B147)*(TRANSAKSI_LOG!$F$2:$F$998&gt;=$B147),0),0)),"")</f>
        <v/>
      </c>
      <c r="D147" s="66" t="str">
        <f t="array" ref="D147">IFERROR(INDEX(TRANSAKSI_LOG!$M$2:$M$998,MATCH(1,INDEX((TRANSAKSI_LOG!$C$2:$C$998=$C$5)*(TRANSAKSI_LOG!$J$2:$J$998=D$7)*(TRANSAKSI_LOG!$E$2:$E$998&lt;=$B147)*(TRANSAKSI_LOG!$F$2:$F$998&gt;=$B147),0),0)) &amp; " - " &amp; INDEX(TRANSAKSI_LOG!$H$2:$H$998,MATCH(1,INDEX((TRANSAKSI_LOG!$C$2:$C$998=$C$5)*(TRANSAKSI_LOG!$J$2:$J$998=D$7)*(TRANSAKSI_LOG!$E$2:$E$998&lt;=$B147)*(TRANSAKSI_LOG!$F$2:$F$998&gt;=$B147),0),0)),"")</f>
        <v/>
      </c>
      <c r="E147" s="66" t="str">
        <f t="array" ref="E147">IFERROR(INDEX(TRANSAKSI_LOG!$M$2:$M$998,MATCH(1,INDEX((TRANSAKSI_LOG!$C$2:$C$998=$C$5)*(TRANSAKSI_LOG!$J$2:$J$998=E$7)*(TRANSAKSI_LOG!$E$2:$E$998&lt;=$B147)*(TRANSAKSI_LOG!$F$2:$F$998&gt;=$B147),0),0)) &amp; " - " &amp; INDEX(TRANSAKSI_LOG!$H$2:$H$998,MATCH(1,INDEX((TRANSAKSI_LOG!$C$2:$C$998=$C$5)*(TRANSAKSI_LOG!$J$2:$J$998=E$7)*(TRANSAKSI_LOG!$E$2:$E$998&lt;=$B147)*(TRANSAKSI_LOG!$F$2:$F$998&gt;=$B147),0),0)),"")</f>
        <v/>
      </c>
      <c r="F147" s="66" t="str">
        <f t="array" ref="F147">IFERROR(INDEX(TRANSAKSI_LOG!$M$2:$M$998,MATCH(1,INDEX((TRANSAKSI_LOG!$C$2:$C$998=$C$5)*(TRANSAKSI_LOG!$J$2:$J$998=F$7)*(TRANSAKSI_LOG!$E$2:$E$998&lt;=$B147)*(TRANSAKSI_LOG!$F$2:$F$998&gt;=$B147),0),0)) &amp; " - " &amp; INDEX(TRANSAKSI_LOG!$H$2:$H$998,MATCH(1,INDEX((TRANSAKSI_LOG!$C$2:$C$998=$C$5)*(TRANSAKSI_LOG!$J$2:$J$998=F$7)*(TRANSAKSI_LOG!$E$2:$E$998&lt;=$B147)*(TRANSAKSI_LOG!$F$2:$F$998&gt;=$B147),0),0)),"")</f>
        <v/>
      </c>
      <c r="G147" s="66" t="str">
        <f t="array" ref="G147">IFERROR(INDEX(TRANSAKSI_LOG!$M$2:$M$998,MATCH(1,INDEX((TRANSAKSI_LOG!$C$2:$C$998=$C$5)*(TRANSAKSI_LOG!$J$2:$J$998=G$7)*(TRANSAKSI_LOG!$E$2:$E$998&lt;=$B147)*(TRANSAKSI_LOG!$F$2:$F$998&gt;=$B147),0),0)) &amp; " - " &amp; INDEX(TRANSAKSI_LOG!$H$2:$H$998,MATCH(1,INDEX((TRANSAKSI_LOG!$C$2:$C$998=$C$5)*(TRANSAKSI_LOG!$J$2:$J$998=G$7)*(TRANSAKSI_LOG!$E$2:$E$998&lt;=$B147)*(TRANSAKSI_LOG!$F$2:$F$998&gt;=$B147),0),0)),"")</f>
        <v/>
      </c>
      <c r="H147" s="66" t="str">
        <f t="array" ref="H147">IFERROR(INDEX(TRANSAKSI_LOG!$M$2:$M$998,MATCH(1,INDEX((TRANSAKSI_LOG!$C$2:$C$998=$C$5)*(TRANSAKSI_LOG!$J$2:$J$998=H$7)*(TRANSAKSI_LOG!$E$2:$E$998&lt;=$B147)*(TRANSAKSI_LOG!$F$2:$F$998&gt;=$B147),0),0)) &amp; " - " &amp; INDEX(TRANSAKSI_LOG!$H$2:$H$998,MATCH(1,INDEX((TRANSAKSI_LOG!$C$2:$C$998=$C$5)*(TRANSAKSI_LOG!$J$2:$J$998=H$7)*(TRANSAKSI_LOG!$E$2:$E$998&lt;=$B147)*(TRANSAKSI_LOG!$F$2:$F$998&gt;=$B147),0),0)),"")</f>
        <v/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13">
        <v>0.8194444444444444</v>
      </c>
      <c r="C148" s="66" t="str">
        <f t="array" ref="C148">IFERROR(INDEX(TRANSAKSI_LOG!$M$2:$M$998,MATCH(1,INDEX((TRANSAKSI_LOG!$C$2:$C$998=$C$5)*(TRANSAKSI_LOG!$J$2:$J$998=C$7)*(TRANSAKSI_LOG!$E$2:$E$998&lt;=$B148)*(TRANSAKSI_LOG!$F$2:$F$998&gt;=$B148),0),0)) &amp; " - " &amp; INDEX(TRANSAKSI_LOG!$H$2:$H$998,MATCH(1,INDEX((TRANSAKSI_LOG!$C$2:$C$998=$C$5)*(TRANSAKSI_LOG!$J$2:$J$998=C$7)*(TRANSAKSI_LOG!$E$2:$E$998&lt;=$B148)*(TRANSAKSI_LOG!$F$2:$F$998&gt;=$B148),0),0)),"")</f>
        <v/>
      </c>
      <c r="D148" s="66" t="str">
        <f t="array" ref="D148">IFERROR(INDEX(TRANSAKSI_LOG!$M$2:$M$998,MATCH(1,INDEX((TRANSAKSI_LOG!$C$2:$C$998=$C$5)*(TRANSAKSI_LOG!$J$2:$J$998=D$7)*(TRANSAKSI_LOG!$E$2:$E$998&lt;=$B148)*(TRANSAKSI_LOG!$F$2:$F$998&gt;=$B148),0),0)) &amp; " - " &amp; INDEX(TRANSAKSI_LOG!$H$2:$H$998,MATCH(1,INDEX((TRANSAKSI_LOG!$C$2:$C$998=$C$5)*(TRANSAKSI_LOG!$J$2:$J$998=D$7)*(TRANSAKSI_LOG!$E$2:$E$998&lt;=$B148)*(TRANSAKSI_LOG!$F$2:$F$998&gt;=$B148),0),0)),"")</f>
        <v/>
      </c>
      <c r="E148" s="66" t="str">
        <f t="array" ref="E148">IFERROR(INDEX(TRANSAKSI_LOG!$M$2:$M$998,MATCH(1,INDEX((TRANSAKSI_LOG!$C$2:$C$998=$C$5)*(TRANSAKSI_LOG!$J$2:$J$998=E$7)*(TRANSAKSI_LOG!$E$2:$E$998&lt;=$B148)*(TRANSAKSI_LOG!$F$2:$F$998&gt;=$B148),0),0)) &amp; " - " &amp; INDEX(TRANSAKSI_LOG!$H$2:$H$998,MATCH(1,INDEX((TRANSAKSI_LOG!$C$2:$C$998=$C$5)*(TRANSAKSI_LOG!$J$2:$J$998=E$7)*(TRANSAKSI_LOG!$E$2:$E$998&lt;=$B148)*(TRANSAKSI_LOG!$F$2:$F$998&gt;=$B148),0),0)),"")</f>
        <v/>
      </c>
      <c r="F148" s="66" t="str">
        <f t="array" ref="F148">IFERROR(INDEX(TRANSAKSI_LOG!$M$2:$M$998,MATCH(1,INDEX((TRANSAKSI_LOG!$C$2:$C$998=$C$5)*(TRANSAKSI_LOG!$J$2:$J$998=F$7)*(TRANSAKSI_LOG!$E$2:$E$998&lt;=$B148)*(TRANSAKSI_LOG!$F$2:$F$998&gt;=$B148),0),0)) &amp; " - " &amp; INDEX(TRANSAKSI_LOG!$H$2:$H$998,MATCH(1,INDEX((TRANSAKSI_LOG!$C$2:$C$998=$C$5)*(TRANSAKSI_LOG!$J$2:$J$998=F$7)*(TRANSAKSI_LOG!$E$2:$E$998&lt;=$B148)*(TRANSAKSI_LOG!$F$2:$F$998&gt;=$B148),0),0)),"")</f>
        <v/>
      </c>
      <c r="G148" s="66" t="str">
        <f t="array" ref="G148">IFERROR(INDEX(TRANSAKSI_LOG!$M$2:$M$998,MATCH(1,INDEX((TRANSAKSI_LOG!$C$2:$C$998=$C$5)*(TRANSAKSI_LOG!$J$2:$J$998=G$7)*(TRANSAKSI_LOG!$E$2:$E$998&lt;=$B148)*(TRANSAKSI_LOG!$F$2:$F$998&gt;=$B148),0),0)) &amp; " - " &amp; INDEX(TRANSAKSI_LOG!$H$2:$H$998,MATCH(1,INDEX((TRANSAKSI_LOG!$C$2:$C$998=$C$5)*(TRANSAKSI_LOG!$J$2:$J$998=G$7)*(TRANSAKSI_LOG!$E$2:$E$998&lt;=$B148)*(TRANSAKSI_LOG!$F$2:$F$998&gt;=$B148),0),0)),"")</f>
        <v/>
      </c>
      <c r="H148" s="66" t="str">
        <f t="array" ref="H148">IFERROR(INDEX(TRANSAKSI_LOG!$M$2:$M$998,MATCH(1,INDEX((TRANSAKSI_LOG!$C$2:$C$998=$C$5)*(TRANSAKSI_LOG!$J$2:$J$998=H$7)*(TRANSAKSI_LOG!$E$2:$E$998&lt;=$B148)*(TRANSAKSI_LOG!$F$2:$F$998&gt;=$B148),0),0)) &amp; " - " &amp; INDEX(TRANSAKSI_LOG!$H$2:$H$998,MATCH(1,INDEX((TRANSAKSI_LOG!$C$2:$C$998=$C$5)*(TRANSAKSI_LOG!$J$2:$J$998=H$7)*(TRANSAKSI_LOG!$E$2:$E$998&lt;=$B148)*(TRANSAKSI_LOG!$F$2:$F$998&gt;=$B148),0),0)),"")</f>
        <v/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13">
        <v>0.8229166666666666</v>
      </c>
      <c r="C149" s="66" t="str">
        <f t="array" ref="C149">IFERROR(INDEX(TRANSAKSI_LOG!$M$2:$M$998,MATCH(1,INDEX((TRANSAKSI_LOG!$C$2:$C$998=$C$5)*(TRANSAKSI_LOG!$J$2:$J$998=C$7)*(TRANSAKSI_LOG!$E$2:$E$998&lt;=$B149)*(TRANSAKSI_LOG!$F$2:$F$998&gt;=$B149),0),0)) &amp; " - " &amp; INDEX(TRANSAKSI_LOG!$H$2:$H$998,MATCH(1,INDEX((TRANSAKSI_LOG!$C$2:$C$998=$C$5)*(TRANSAKSI_LOG!$J$2:$J$998=C$7)*(TRANSAKSI_LOG!$E$2:$E$998&lt;=$B149)*(TRANSAKSI_LOG!$F$2:$F$998&gt;=$B149),0),0)),"")</f>
        <v/>
      </c>
      <c r="D149" s="66" t="str">
        <f t="array" ref="D149">IFERROR(INDEX(TRANSAKSI_LOG!$M$2:$M$998,MATCH(1,INDEX((TRANSAKSI_LOG!$C$2:$C$998=$C$5)*(TRANSAKSI_LOG!$J$2:$J$998=D$7)*(TRANSAKSI_LOG!$E$2:$E$998&lt;=$B149)*(TRANSAKSI_LOG!$F$2:$F$998&gt;=$B149),0),0)) &amp; " - " &amp; INDEX(TRANSAKSI_LOG!$H$2:$H$998,MATCH(1,INDEX((TRANSAKSI_LOG!$C$2:$C$998=$C$5)*(TRANSAKSI_LOG!$J$2:$J$998=D$7)*(TRANSAKSI_LOG!$E$2:$E$998&lt;=$B149)*(TRANSAKSI_LOG!$F$2:$F$998&gt;=$B149),0),0)),"")</f>
        <v/>
      </c>
      <c r="E149" s="66" t="str">
        <f t="array" ref="E149">IFERROR(INDEX(TRANSAKSI_LOG!$M$2:$M$998,MATCH(1,INDEX((TRANSAKSI_LOG!$C$2:$C$998=$C$5)*(TRANSAKSI_LOG!$J$2:$J$998=E$7)*(TRANSAKSI_LOG!$E$2:$E$998&lt;=$B149)*(TRANSAKSI_LOG!$F$2:$F$998&gt;=$B149),0),0)) &amp; " - " &amp; INDEX(TRANSAKSI_LOG!$H$2:$H$998,MATCH(1,INDEX((TRANSAKSI_LOG!$C$2:$C$998=$C$5)*(TRANSAKSI_LOG!$J$2:$J$998=E$7)*(TRANSAKSI_LOG!$E$2:$E$998&lt;=$B149)*(TRANSAKSI_LOG!$F$2:$F$998&gt;=$B149),0),0)),"")</f>
        <v/>
      </c>
      <c r="F149" s="66" t="str">
        <f t="array" ref="F149">IFERROR(INDEX(TRANSAKSI_LOG!$M$2:$M$998,MATCH(1,INDEX((TRANSAKSI_LOG!$C$2:$C$998=$C$5)*(TRANSAKSI_LOG!$J$2:$J$998=F$7)*(TRANSAKSI_LOG!$E$2:$E$998&lt;=$B149)*(TRANSAKSI_LOG!$F$2:$F$998&gt;=$B149),0),0)) &amp; " - " &amp; INDEX(TRANSAKSI_LOG!$H$2:$H$998,MATCH(1,INDEX((TRANSAKSI_LOG!$C$2:$C$998=$C$5)*(TRANSAKSI_LOG!$J$2:$J$998=F$7)*(TRANSAKSI_LOG!$E$2:$E$998&lt;=$B149)*(TRANSAKSI_LOG!$F$2:$F$998&gt;=$B149),0),0)),"")</f>
        <v/>
      </c>
      <c r="G149" s="66" t="str">
        <f t="array" ref="G149">IFERROR(INDEX(TRANSAKSI_LOG!$M$2:$M$998,MATCH(1,INDEX((TRANSAKSI_LOG!$C$2:$C$998=$C$5)*(TRANSAKSI_LOG!$J$2:$J$998=G$7)*(TRANSAKSI_LOG!$E$2:$E$998&lt;=$B149)*(TRANSAKSI_LOG!$F$2:$F$998&gt;=$B149),0),0)) &amp; " - " &amp; INDEX(TRANSAKSI_LOG!$H$2:$H$998,MATCH(1,INDEX((TRANSAKSI_LOG!$C$2:$C$998=$C$5)*(TRANSAKSI_LOG!$J$2:$J$998=G$7)*(TRANSAKSI_LOG!$E$2:$E$998&lt;=$B149)*(TRANSAKSI_LOG!$F$2:$F$998&gt;=$B149),0),0)),"")</f>
        <v/>
      </c>
      <c r="H149" s="66" t="str">
        <f t="array" ref="H149">IFERROR(INDEX(TRANSAKSI_LOG!$M$2:$M$998,MATCH(1,INDEX((TRANSAKSI_LOG!$C$2:$C$998=$C$5)*(TRANSAKSI_LOG!$J$2:$J$998=H$7)*(TRANSAKSI_LOG!$E$2:$E$998&lt;=$B149)*(TRANSAKSI_LOG!$F$2:$F$998&gt;=$B149),0),0)) &amp; " - " &amp; INDEX(TRANSAKSI_LOG!$H$2:$H$998,MATCH(1,INDEX((TRANSAKSI_LOG!$C$2:$C$998=$C$5)*(TRANSAKSI_LOG!$J$2:$J$998=H$7)*(TRANSAKSI_LOG!$E$2:$E$998&lt;=$B149)*(TRANSAKSI_LOG!$F$2:$F$998&gt;=$B149),0),0)),"")</f>
        <v/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13">
        <v>0.8263888888888888</v>
      </c>
      <c r="C150" s="66" t="str">
        <f t="array" ref="C150">IFERROR(INDEX(TRANSAKSI_LOG!$M$2:$M$998,MATCH(1,INDEX((TRANSAKSI_LOG!$C$2:$C$998=$C$5)*(TRANSAKSI_LOG!$J$2:$J$998=C$7)*(TRANSAKSI_LOG!$E$2:$E$998&lt;=$B150)*(TRANSAKSI_LOG!$F$2:$F$998&gt;=$B150),0),0)) &amp; " - " &amp; INDEX(TRANSAKSI_LOG!$H$2:$H$998,MATCH(1,INDEX((TRANSAKSI_LOG!$C$2:$C$998=$C$5)*(TRANSAKSI_LOG!$J$2:$J$998=C$7)*(TRANSAKSI_LOG!$E$2:$E$998&lt;=$B150)*(TRANSAKSI_LOG!$F$2:$F$998&gt;=$B150),0),0)),"")</f>
        <v/>
      </c>
      <c r="D150" s="66" t="str">
        <f t="array" ref="D150">IFERROR(INDEX(TRANSAKSI_LOG!$M$2:$M$998,MATCH(1,INDEX((TRANSAKSI_LOG!$C$2:$C$998=$C$5)*(TRANSAKSI_LOG!$J$2:$J$998=D$7)*(TRANSAKSI_LOG!$E$2:$E$998&lt;=$B150)*(TRANSAKSI_LOG!$F$2:$F$998&gt;=$B150),0),0)) &amp; " - " &amp; INDEX(TRANSAKSI_LOG!$H$2:$H$998,MATCH(1,INDEX((TRANSAKSI_LOG!$C$2:$C$998=$C$5)*(TRANSAKSI_LOG!$J$2:$J$998=D$7)*(TRANSAKSI_LOG!$E$2:$E$998&lt;=$B150)*(TRANSAKSI_LOG!$F$2:$F$998&gt;=$B150),0),0)),"")</f>
        <v/>
      </c>
      <c r="E150" s="66" t="str">
        <f t="array" ref="E150">IFERROR(INDEX(TRANSAKSI_LOG!$M$2:$M$998,MATCH(1,INDEX((TRANSAKSI_LOG!$C$2:$C$998=$C$5)*(TRANSAKSI_LOG!$J$2:$J$998=E$7)*(TRANSAKSI_LOG!$E$2:$E$998&lt;=$B150)*(TRANSAKSI_LOG!$F$2:$F$998&gt;=$B150),0),0)) &amp; " - " &amp; INDEX(TRANSAKSI_LOG!$H$2:$H$998,MATCH(1,INDEX((TRANSAKSI_LOG!$C$2:$C$998=$C$5)*(TRANSAKSI_LOG!$J$2:$J$998=E$7)*(TRANSAKSI_LOG!$E$2:$E$998&lt;=$B150)*(TRANSAKSI_LOG!$F$2:$F$998&gt;=$B150),0),0)),"")</f>
        <v/>
      </c>
      <c r="F150" s="66" t="str">
        <f t="array" ref="F150">IFERROR(INDEX(TRANSAKSI_LOG!$M$2:$M$998,MATCH(1,INDEX((TRANSAKSI_LOG!$C$2:$C$998=$C$5)*(TRANSAKSI_LOG!$J$2:$J$998=F$7)*(TRANSAKSI_LOG!$E$2:$E$998&lt;=$B150)*(TRANSAKSI_LOG!$F$2:$F$998&gt;=$B150),0),0)) &amp; " - " &amp; INDEX(TRANSAKSI_LOG!$H$2:$H$998,MATCH(1,INDEX((TRANSAKSI_LOG!$C$2:$C$998=$C$5)*(TRANSAKSI_LOG!$J$2:$J$998=F$7)*(TRANSAKSI_LOG!$E$2:$E$998&lt;=$B150)*(TRANSAKSI_LOG!$F$2:$F$998&gt;=$B150),0),0)),"")</f>
        <v/>
      </c>
      <c r="G150" s="66" t="str">
        <f t="array" ref="G150">IFERROR(INDEX(TRANSAKSI_LOG!$M$2:$M$998,MATCH(1,INDEX((TRANSAKSI_LOG!$C$2:$C$998=$C$5)*(TRANSAKSI_LOG!$J$2:$J$998=G$7)*(TRANSAKSI_LOG!$E$2:$E$998&lt;=$B150)*(TRANSAKSI_LOG!$F$2:$F$998&gt;=$B150),0),0)) &amp; " - " &amp; INDEX(TRANSAKSI_LOG!$H$2:$H$998,MATCH(1,INDEX((TRANSAKSI_LOG!$C$2:$C$998=$C$5)*(TRANSAKSI_LOG!$J$2:$J$998=G$7)*(TRANSAKSI_LOG!$E$2:$E$998&lt;=$B150)*(TRANSAKSI_LOG!$F$2:$F$998&gt;=$B150),0),0)),"")</f>
        <v/>
      </c>
      <c r="H150" s="66" t="str">
        <f t="array" ref="H150">IFERROR(INDEX(TRANSAKSI_LOG!$M$2:$M$998,MATCH(1,INDEX((TRANSAKSI_LOG!$C$2:$C$998=$C$5)*(TRANSAKSI_LOG!$J$2:$J$998=H$7)*(TRANSAKSI_LOG!$E$2:$E$998&lt;=$B150)*(TRANSAKSI_LOG!$F$2:$F$998&gt;=$B150),0),0)) &amp; " - " &amp; INDEX(TRANSAKSI_LOG!$H$2:$H$998,MATCH(1,INDEX((TRANSAKSI_LOG!$C$2:$C$998=$C$5)*(TRANSAKSI_LOG!$J$2:$J$998=H$7)*(TRANSAKSI_LOG!$E$2:$E$998&lt;=$B150)*(TRANSAKSI_LOG!$F$2:$F$998&gt;=$B150),0),0)),"")</f>
        <v/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13">
        <v>0.8298611111111112</v>
      </c>
      <c r="C151" s="66" t="str">
        <f t="array" ref="C151">IFERROR(INDEX(TRANSAKSI_LOG!$M$2:$M$998,MATCH(1,INDEX((TRANSAKSI_LOG!$C$2:$C$998=$C$5)*(TRANSAKSI_LOG!$J$2:$J$998=C$7)*(TRANSAKSI_LOG!$E$2:$E$998&lt;=$B151)*(TRANSAKSI_LOG!$F$2:$F$998&gt;=$B151),0),0)) &amp; " - " &amp; INDEX(TRANSAKSI_LOG!$H$2:$H$998,MATCH(1,INDEX((TRANSAKSI_LOG!$C$2:$C$998=$C$5)*(TRANSAKSI_LOG!$J$2:$J$998=C$7)*(TRANSAKSI_LOG!$E$2:$E$998&lt;=$B151)*(TRANSAKSI_LOG!$F$2:$F$998&gt;=$B151),0),0)),"")</f>
        <v/>
      </c>
      <c r="D151" s="66" t="str">
        <f t="array" ref="D151">IFERROR(INDEX(TRANSAKSI_LOG!$M$2:$M$998,MATCH(1,INDEX((TRANSAKSI_LOG!$C$2:$C$998=$C$5)*(TRANSAKSI_LOG!$J$2:$J$998=D$7)*(TRANSAKSI_LOG!$E$2:$E$998&lt;=$B151)*(TRANSAKSI_LOG!$F$2:$F$998&gt;=$B151),0),0)) &amp; " - " &amp; INDEX(TRANSAKSI_LOG!$H$2:$H$998,MATCH(1,INDEX((TRANSAKSI_LOG!$C$2:$C$998=$C$5)*(TRANSAKSI_LOG!$J$2:$J$998=D$7)*(TRANSAKSI_LOG!$E$2:$E$998&lt;=$B151)*(TRANSAKSI_LOG!$F$2:$F$998&gt;=$B151),0),0)),"")</f>
        <v/>
      </c>
      <c r="E151" s="66" t="str">
        <f t="array" ref="E151">IFERROR(INDEX(TRANSAKSI_LOG!$M$2:$M$998,MATCH(1,INDEX((TRANSAKSI_LOG!$C$2:$C$998=$C$5)*(TRANSAKSI_LOG!$J$2:$J$998=E$7)*(TRANSAKSI_LOG!$E$2:$E$998&lt;=$B151)*(TRANSAKSI_LOG!$F$2:$F$998&gt;=$B151),0),0)) &amp; " - " &amp; INDEX(TRANSAKSI_LOG!$H$2:$H$998,MATCH(1,INDEX((TRANSAKSI_LOG!$C$2:$C$998=$C$5)*(TRANSAKSI_LOG!$J$2:$J$998=E$7)*(TRANSAKSI_LOG!$E$2:$E$998&lt;=$B151)*(TRANSAKSI_LOG!$F$2:$F$998&gt;=$B151),0),0)),"")</f>
        <v/>
      </c>
      <c r="F151" s="66" t="str">
        <f t="array" ref="F151">IFERROR(INDEX(TRANSAKSI_LOG!$M$2:$M$998,MATCH(1,INDEX((TRANSAKSI_LOG!$C$2:$C$998=$C$5)*(TRANSAKSI_LOG!$J$2:$J$998=F$7)*(TRANSAKSI_LOG!$E$2:$E$998&lt;=$B151)*(TRANSAKSI_LOG!$F$2:$F$998&gt;=$B151),0),0)) &amp; " - " &amp; INDEX(TRANSAKSI_LOG!$H$2:$H$998,MATCH(1,INDEX((TRANSAKSI_LOG!$C$2:$C$998=$C$5)*(TRANSAKSI_LOG!$J$2:$J$998=F$7)*(TRANSAKSI_LOG!$E$2:$E$998&lt;=$B151)*(TRANSAKSI_LOG!$F$2:$F$998&gt;=$B151),0),0)),"")</f>
        <v/>
      </c>
      <c r="G151" s="66" t="str">
        <f t="array" ref="G151">IFERROR(INDEX(TRANSAKSI_LOG!$M$2:$M$998,MATCH(1,INDEX((TRANSAKSI_LOG!$C$2:$C$998=$C$5)*(TRANSAKSI_LOG!$J$2:$J$998=G$7)*(TRANSAKSI_LOG!$E$2:$E$998&lt;=$B151)*(TRANSAKSI_LOG!$F$2:$F$998&gt;=$B151),0),0)) &amp; " - " &amp; INDEX(TRANSAKSI_LOG!$H$2:$H$998,MATCH(1,INDEX((TRANSAKSI_LOG!$C$2:$C$998=$C$5)*(TRANSAKSI_LOG!$J$2:$J$998=G$7)*(TRANSAKSI_LOG!$E$2:$E$998&lt;=$B151)*(TRANSAKSI_LOG!$F$2:$F$998&gt;=$B151),0),0)),"")</f>
        <v/>
      </c>
      <c r="H151" s="66" t="str">
        <f t="array" ref="H151">IFERROR(INDEX(TRANSAKSI_LOG!$M$2:$M$998,MATCH(1,INDEX((TRANSAKSI_LOG!$C$2:$C$998=$C$5)*(TRANSAKSI_LOG!$J$2:$J$998=H$7)*(TRANSAKSI_LOG!$E$2:$E$998&lt;=$B151)*(TRANSAKSI_LOG!$F$2:$F$998&gt;=$B151),0),0)) &amp; " - " &amp; INDEX(TRANSAKSI_LOG!$H$2:$H$998,MATCH(1,INDEX((TRANSAKSI_LOG!$C$2:$C$998=$C$5)*(TRANSAKSI_LOG!$J$2:$J$998=H$7)*(TRANSAKSI_LOG!$E$2:$E$998&lt;=$B151)*(TRANSAKSI_LOG!$F$2:$F$998&gt;=$B151),0),0)),"")</f>
        <v/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13">
        <v>0.8333333333333334</v>
      </c>
      <c r="C152" s="66" t="str">
        <f t="array" ref="C152">IFERROR(INDEX(TRANSAKSI_LOG!$M$2:$M$998,MATCH(1,INDEX((TRANSAKSI_LOG!$C$2:$C$998=$C$5)*(TRANSAKSI_LOG!$J$2:$J$998=C$7)*(TRANSAKSI_LOG!$E$2:$E$998&lt;=$B152)*(TRANSAKSI_LOG!$F$2:$F$998&gt;=$B152),0),0)) &amp; " - " &amp; INDEX(TRANSAKSI_LOG!$H$2:$H$998,MATCH(1,INDEX((TRANSAKSI_LOG!$C$2:$C$998=$C$5)*(TRANSAKSI_LOG!$J$2:$J$998=C$7)*(TRANSAKSI_LOG!$E$2:$E$998&lt;=$B152)*(TRANSAKSI_LOG!$F$2:$F$998&gt;=$B152),0),0)),"")</f>
        <v/>
      </c>
      <c r="D152" s="66" t="str">
        <f t="array" ref="D152">IFERROR(INDEX(TRANSAKSI_LOG!$M$2:$M$998,MATCH(1,INDEX((TRANSAKSI_LOG!$C$2:$C$998=$C$5)*(TRANSAKSI_LOG!$J$2:$J$998=D$7)*(TRANSAKSI_LOG!$E$2:$E$998&lt;=$B152)*(TRANSAKSI_LOG!$F$2:$F$998&gt;=$B152),0),0)) &amp; " - " &amp; INDEX(TRANSAKSI_LOG!$H$2:$H$998,MATCH(1,INDEX((TRANSAKSI_LOG!$C$2:$C$998=$C$5)*(TRANSAKSI_LOG!$J$2:$J$998=D$7)*(TRANSAKSI_LOG!$E$2:$E$998&lt;=$B152)*(TRANSAKSI_LOG!$F$2:$F$998&gt;=$B152),0),0)),"")</f>
        <v/>
      </c>
      <c r="E152" s="66" t="str">
        <f t="array" ref="E152">IFERROR(INDEX(TRANSAKSI_LOG!$M$2:$M$998,MATCH(1,INDEX((TRANSAKSI_LOG!$C$2:$C$998=$C$5)*(TRANSAKSI_LOG!$J$2:$J$998=E$7)*(TRANSAKSI_LOG!$E$2:$E$998&lt;=$B152)*(TRANSAKSI_LOG!$F$2:$F$998&gt;=$B152),0),0)) &amp; " - " &amp; INDEX(TRANSAKSI_LOG!$H$2:$H$998,MATCH(1,INDEX((TRANSAKSI_LOG!$C$2:$C$998=$C$5)*(TRANSAKSI_LOG!$J$2:$J$998=E$7)*(TRANSAKSI_LOG!$E$2:$E$998&lt;=$B152)*(TRANSAKSI_LOG!$F$2:$F$998&gt;=$B152),0),0)),"")</f>
        <v/>
      </c>
      <c r="F152" s="66" t="str">
        <f t="array" ref="F152">IFERROR(INDEX(TRANSAKSI_LOG!$M$2:$M$998,MATCH(1,INDEX((TRANSAKSI_LOG!$C$2:$C$998=$C$5)*(TRANSAKSI_LOG!$J$2:$J$998=F$7)*(TRANSAKSI_LOG!$E$2:$E$998&lt;=$B152)*(TRANSAKSI_LOG!$F$2:$F$998&gt;=$B152),0),0)) &amp; " - " &amp; INDEX(TRANSAKSI_LOG!$H$2:$H$998,MATCH(1,INDEX((TRANSAKSI_LOG!$C$2:$C$998=$C$5)*(TRANSAKSI_LOG!$J$2:$J$998=F$7)*(TRANSAKSI_LOG!$E$2:$E$998&lt;=$B152)*(TRANSAKSI_LOG!$F$2:$F$998&gt;=$B152),0),0)),"")</f>
        <v/>
      </c>
      <c r="G152" s="66" t="str">
        <f t="array" ref="G152">IFERROR(INDEX(TRANSAKSI_LOG!$M$2:$M$998,MATCH(1,INDEX((TRANSAKSI_LOG!$C$2:$C$998=$C$5)*(TRANSAKSI_LOG!$J$2:$J$998=G$7)*(TRANSAKSI_LOG!$E$2:$E$998&lt;=$B152)*(TRANSAKSI_LOG!$F$2:$F$998&gt;=$B152),0),0)) &amp; " - " &amp; INDEX(TRANSAKSI_LOG!$H$2:$H$998,MATCH(1,INDEX((TRANSAKSI_LOG!$C$2:$C$998=$C$5)*(TRANSAKSI_LOG!$J$2:$J$998=G$7)*(TRANSAKSI_LOG!$E$2:$E$998&lt;=$B152)*(TRANSAKSI_LOG!$F$2:$F$998&gt;=$B152),0),0)),"")</f>
        <v/>
      </c>
      <c r="H152" s="66" t="str">
        <f t="array" ref="H152">IFERROR(INDEX(TRANSAKSI_LOG!$M$2:$M$998,MATCH(1,INDEX((TRANSAKSI_LOG!$C$2:$C$998=$C$5)*(TRANSAKSI_LOG!$J$2:$J$998=H$7)*(TRANSAKSI_LOG!$E$2:$E$998&lt;=$B152)*(TRANSAKSI_LOG!$F$2:$F$998&gt;=$B152),0),0)) &amp; " - " &amp; INDEX(TRANSAKSI_LOG!$H$2:$H$998,MATCH(1,INDEX((TRANSAKSI_LOG!$C$2:$C$998=$C$5)*(TRANSAKSI_LOG!$J$2:$J$998=H$7)*(TRANSAKSI_LOG!$E$2:$E$998&lt;=$B152)*(TRANSAKSI_LOG!$F$2:$F$998&gt;=$B152),0),0)),"")</f>
        <v/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6">
    <mergeCell ref="J1:K2"/>
    <mergeCell ref="L1:M2"/>
    <mergeCell ref="N1:O2"/>
    <mergeCell ref="P1:Q2"/>
    <mergeCell ref="R1:S2"/>
    <mergeCell ref="B2:H3"/>
  </mergeCells>
  <dataValidations>
    <dataValidation type="list" allowBlank="1" showErrorMessage="1" sqref="E5">
      <formula1>MASTER_TANGGAL!$B$2:$B$32</formula1>
    </dataValidation>
    <dataValidation type="list" allowBlank="1" showErrorMessage="1" sqref="D5">
      <formula1>MASTER_TANGGAL!$A$2:$A$32</formula1>
    </dataValidation>
    <dataValidation type="list" allowBlank="1" showErrorMessage="1" sqref="F5">
      <formula1>MASTER_TANGGAL!$C$2:$C$32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3" width="30.0"/>
    <col customWidth="1" min="4" max="4" width="18.0"/>
    <col customWidth="1" min="5" max="6" width="8.71"/>
  </cols>
  <sheetData>
    <row r="1" ht="21.75" customHeight="1">
      <c r="A1" s="1"/>
      <c r="B1" s="2" t="s">
        <v>0</v>
      </c>
      <c r="D1" s="2" t="s">
        <v>1</v>
      </c>
      <c r="F1" s="3" t="s">
        <v>2</v>
      </c>
      <c r="G1" s="4"/>
      <c r="H1" s="3" t="s">
        <v>3</v>
      </c>
      <c r="I1" s="4"/>
      <c r="J1" s="3" t="s">
        <v>4</v>
      </c>
      <c r="K1" s="4"/>
      <c r="L1" s="3" t="s">
        <v>5</v>
      </c>
      <c r="M1" s="4"/>
      <c r="N1" s="5" t="s">
        <v>6</v>
      </c>
      <c r="O1" s="4"/>
      <c r="P1" s="3" t="s">
        <v>7</v>
      </c>
      <c r="Q1" s="4"/>
      <c r="R1" s="3" t="s">
        <v>8</v>
      </c>
      <c r="S1" s="4"/>
      <c r="T1" s="1"/>
      <c r="U1" s="1"/>
      <c r="V1" s="1"/>
      <c r="W1" s="1"/>
      <c r="X1" s="1"/>
      <c r="Y1" s="1"/>
      <c r="Z1" s="1"/>
    </row>
    <row r="2" ht="18.0" customHeight="1">
      <c r="A2" s="1"/>
      <c r="F2" s="7"/>
      <c r="G2" s="8"/>
      <c r="H2" s="7"/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4" t="s">
        <v>110</v>
      </c>
      <c r="C4" s="114" t="s">
        <v>111</v>
      </c>
      <c r="D4" s="2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4" t="s">
        <v>112</v>
      </c>
      <c r="C5" s="115">
        <v>46105.90447094908</v>
      </c>
      <c r="D5" s="2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4" t="s">
        <v>113</v>
      </c>
      <c r="C6" s="114" t="s">
        <v>114</v>
      </c>
      <c r="D6" s="2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4" t="s">
        <v>77</v>
      </c>
      <c r="C7" s="114" t="s">
        <v>115</v>
      </c>
      <c r="D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4" t="s">
        <v>60</v>
      </c>
      <c r="C8" s="115">
        <v>46106.0</v>
      </c>
      <c r="D8" s="2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4" t="s">
        <v>116</v>
      </c>
      <c r="C9" s="115">
        <v>0.625</v>
      </c>
      <c r="D9" s="2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4" t="s">
        <v>43</v>
      </c>
      <c r="C10" s="114" t="s">
        <v>117</v>
      </c>
      <c r="D10" s="2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4" t="s">
        <v>63</v>
      </c>
      <c r="C11" s="114" t="s">
        <v>118</v>
      </c>
      <c r="D11" s="2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74" t="s">
        <v>119</v>
      </c>
      <c r="C12" s="116">
        <v>150000.0</v>
      </c>
      <c r="D12" s="2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74" t="s">
        <v>120</v>
      </c>
      <c r="C13" s="116">
        <v>0.0</v>
      </c>
      <c r="D13" s="2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74" t="s">
        <v>121</v>
      </c>
      <c r="C14" s="116">
        <v>0.0</v>
      </c>
      <c r="D14" s="2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74" t="s">
        <v>76</v>
      </c>
      <c r="C15" s="116">
        <v>150000.0</v>
      </c>
      <c r="D15" s="2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74" t="s">
        <v>86</v>
      </c>
      <c r="C16" s="116">
        <v>0.0</v>
      </c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74" t="s">
        <v>85</v>
      </c>
      <c r="C17" s="116">
        <v>150000.0</v>
      </c>
      <c r="D17" s="2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4" t="s">
        <v>122</v>
      </c>
      <c r="C18" s="114" t="s">
        <v>123</v>
      </c>
      <c r="D18" s="2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3">
    <mergeCell ref="F1:G2"/>
    <mergeCell ref="H1:I2"/>
    <mergeCell ref="J1:K2"/>
    <mergeCell ref="L1:M2"/>
    <mergeCell ref="N1:O2"/>
    <mergeCell ref="P1:Q2"/>
    <mergeCell ref="R1:S2"/>
    <mergeCell ref="B2:D2"/>
    <mergeCell ref="C4:D4"/>
    <mergeCell ref="C5:D5"/>
    <mergeCell ref="C6:D6"/>
    <mergeCell ref="C7:D7"/>
    <mergeCell ref="C8:D8"/>
    <mergeCell ref="C9:D9"/>
    <mergeCell ref="C17:D17"/>
    <mergeCell ref="C18:D18"/>
    <mergeCell ref="C10:D10"/>
    <mergeCell ref="C11:D11"/>
    <mergeCell ref="C12:D12"/>
    <mergeCell ref="C13:D13"/>
    <mergeCell ref="C14:D14"/>
    <mergeCell ref="C15:D15"/>
    <mergeCell ref="C16:D16"/>
  </mergeCells>
  <printOptions/>
  <pageMargins bottom="1.0" footer="0.0" header="0.0" left="0.75" right="0.75" top="1.0"/>
  <pageSetup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8.0"/>
    <col customWidth="1" min="4" max="4" width="24.0"/>
    <col customWidth="1" min="5" max="5" width="18.0"/>
    <col customWidth="1" min="6" max="7" width="12.0"/>
    <col customWidth="1" min="8" max="9" width="16.0"/>
    <col customWidth="1" min="10" max="11" width="14.0"/>
    <col customWidth="1" min="12" max="12" width="18.0"/>
    <col customWidth="1" min="13" max="13" width="20.0"/>
  </cols>
  <sheetData>
    <row r="1" ht="21.75" customHeight="1">
      <c r="A1" s="28" t="s">
        <v>124</v>
      </c>
      <c r="B1" s="28" t="s">
        <v>125</v>
      </c>
      <c r="C1" s="28" t="s">
        <v>126</v>
      </c>
      <c r="D1" s="28" t="s">
        <v>127</v>
      </c>
      <c r="E1" s="28" t="s">
        <v>128</v>
      </c>
      <c r="F1" s="28" t="s">
        <v>129</v>
      </c>
      <c r="G1" s="28" t="s">
        <v>130</v>
      </c>
      <c r="H1" s="28" t="s">
        <v>131</v>
      </c>
      <c r="I1" s="28" t="s">
        <v>132</v>
      </c>
      <c r="J1" s="28" t="s">
        <v>133</v>
      </c>
      <c r="K1" s="28" t="s">
        <v>134</v>
      </c>
      <c r="L1" s="3" t="s">
        <v>0</v>
      </c>
      <c r="M1" s="4"/>
      <c r="N1" s="3" t="s">
        <v>1</v>
      </c>
      <c r="O1" s="4"/>
      <c r="P1" s="3" t="s">
        <v>2</v>
      </c>
      <c r="Q1" s="4"/>
      <c r="R1" s="5" t="s">
        <v>3</v>
      </c>
      <c r="S1" s="4"/>
      <c r="T1" s="3" t="s">
        <v>4</v>
      </c>
      <c r="U1" s="4"/>
      <c r="V1" s="3" t="s">
        <v>5</v>
      </c>
      <c r="W1" s="4"/>
      <c r="X1" s="3" t="s">
        <v>6</v>
      </c>
      <c r="Y1" s="4"/>
      <c r="Z1" s="3" t="s">
        <v>7</v>
      </c>
      <c r="AA1" s="4"/>
      <c r="AB1" s="3" t="s">
        <v>8</v>
      </c>
      <c r="AC1" s="4"/>
    </row>
    <row r="2" ht="18.0" customHeight="1">
      <c r="A2" s="117" t="s">
        <v>135</v>
      </c>
      <c r="B2" s="66" t="s">
        <v>114</v>
      </c>
      <c r="C2" s="66">
        <v>5.45433423E8</v>
      </c>
      <c r="D2" s="66" t="s">
        <v>136</v>
      </c>
      <c r="E2" s="66" t="s">
        <v>115</v>
      </c>
      <c r="F2" s="66" t="s">
        <v>137</v>
      </c>
      <c r="G2" s="118">
        <v>1.0</v>
      </c>
      <c r="H2" s="119">
        <v>150000.0</v>
      </c>
      <c r="I2" s="119">
        <v>150000.0</v>
      </c>
      <c r="J2" s="117" t="s">
        <v>138</v>
      </c>
      <c r="K2" s="66" t="s">
        <v>139</v>
      </c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7"/>
      <c r="Y2" s="8"/>
      <c r="Z2" s="7"/>
      <c r="AA2" s="8"/>
      <c r="AB2" s="7"/>
      <c r="AC2" s="8"/>
    </row>
    <row r="3" ht="14.25" customHeight="1">
      <c r="A3" s="117" t="s">
        <v>140</v>
      </c>
      <c r="B3" s="66" t="s">
        <v>141</v>
      </c>
      <c r="C3" s="66">
        <v>8.97666555E8</v>
      </c>
      <c r="D3" s="66" t="s">
        <v>142</v>
      </c>
      <c r="E3" s="66" t="s">
        <v>143</v>
      </c>
      <c r="F3" s="66" t="s">
        <v>144</v>
      </c>
      <c r="G3" s="118">
        <v>1.0</v>
      </c>
      <c r="H3" s="119">
        <v>75000.0</v>
      </c>
      <c r="I3" s="119">
        <v>75000.0</v>
      </c>
      <c r="J3" s="117" t="s">
        <v>138</v>
      </c>
      <c r="K3" s="66" t="s">
        <v>139</v>
      </c>
      <c r="L3" s="66" t="s">
        <v>145</v>
      </c>
      <c r="M3" s="6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17" t="s">
        <v>146</v>
      </c>
      <c r="B4" s="66" t="s">
        <v>147</v>
      </c>
      <c r="C4" s="66">
        <v>2.13445432E8</v>
      </c>
      <c r="D4" s="66" t="s">
        <v>148</v>
      </c>
      <c r="E4" s="66" t="s">
        <v>149</v>
      </c>
      <c r="F4" s="66" t="s">
        <v>150</v>
      </c>
      <c r="G4" s="118">
        <v>1.0</v>
      </c>
      <c r="H4" s="119">
        <v>60000.0</v>
      </c>
      <c r="I4" s="119">
        <v>60000.0</v>
      </c>
      <c r="J4" s="117" t="s">
        <v>138</v>
      </c>
      <c r="K4" s="66" t="s">
        <v>139</v>
      </c>
      <c r="L4" s="66" t="s">
        <v>151</v>
      </c>
      <c r="M4" s="6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20" t="s">
        <v>152</v>
      </c>
      <c r="B5" s="121" t="s">
        <v>153</v>
      </c>
      <c r="C5" s="121">
        <v>3.45567669E9</v>
      </c>
      <c r="D5" s="121" t="s">
        <v>154</v>
      </c>
      <c r="E5" s="121" t="s">
        <v>155</v>
      </c>
      <c r="F5" s="121" t="s">
        <v>150</v>
      </c>
      <c r="G5" s="122">
        <v>1.0</v>
      </c>
      <c r="H5" s="123">
        <v>85000.0</v>
      </c>
      <c r="I5" s="123">
        <v>85000.0</v>
      </c>
      <c r="J5" s="124" t="s">
        <v>156</v>
      </c>
      <c r="K5" s="121" t="s">
        <v>139</v>
      </c>
      <c r="L5" s="66"/>
      <c r="M5" s="6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6"/>
      <c r="B52" s="66"/>
      <c r="C52" s="66"/>
      <c r="D52" s="66"/>
      <c r="E52" s="66"/>
      <c r="F52" s="125"/>
      <c r="G52" s="66"/>
      <c r="H52" s="66"/>
      <c r="I52" s="66"/>
      <c r="J52" s="66"/>
      <c r="K52" s="66"/>
      <c r="L52" s="66"/>
      <c r="M52" s="6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6"/>
      <c r="B84" s="66"/>
      <c r="C84" s="66"/>
      <c r="D84" s="66"/>
      <c r="E84" s="66"/>
      <c r="F84" s="125"/>
      <c r="G84" s="66"/>
      <c r="H84" s="66"/>
      <c r="I84" s="66"/>
      <c r="J84" s="66"/>
      <c r="K84" s="66"/>
      <c r="L84" s="66"/>
      <c r="M84" s="6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9">
    <mergeCell ref="Z1:AA2"/>
    <mergeCell ref="AB1:AC2"/>
    <mergeCell ref="L1:M2"/>
    <mergeCell ref="N1:O2"/>
    <mergeCell ref="P1:Q2"/>
    <mergeCell ref="R1:S2"/>
    <mergeCell ref="T1:U2"/>
    <mergeCell ref="V1:W2"/>
    <mergeCell ref="X1:Y2"/>
  </mergeCells>
  <printOptions/>
  <pageMargins bottom="1.0" footer="0.0" header="0.0" left="0.75" right="0.75" top="1.0"/>
  <pageSetup orientation="landscape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5" width="16.0"/>
  </cols>
  <sheetData>
    <row r="1" ht="21.75" customHeight="1">
      <c r="A1" s="28" t="s">
        <v>157</v>
      </c>
      <c r="B1" s="28" t="s">
        <v>158</v>
      </c>
      <c r="C1" s="28" t="s">
        <v>159</v>
      </c>
      <c r="D1" s="28" t="s">
        <v>160</v>
      </c>
      <c r="E1" s="28" t="s">
        <v>161</v>
      </c>
      <c r="F1" s="28" t="s">
        <v>162</v>
      </c>
      <c r="G1" s="28" t="s">
        <v>163</v>
      </c>
      <c r="H1" s="28" t="s">
        <v>164</v>
      </c>
      <c r="I1" s="28" t="s">
        <v>165</v>
      </c>
      <c r="J1" s="28" t="s">
        <v>166</v>
      </c>
      <c r="K1" s="28" t="s">
        <v>125</v>
      </c>
      <c r="L1" s="28" t="s">
        <v>126</v>
      </c>
      <c r="M1" s="28" t="s">
        <v>128</v>
      </c>
      <c r="N1" s="28" t="s">
        <v>129</v>
      </c>
      <c r="O1" s="28" t="s">
        <v>127</v>
      </c>
      <c r="P1" s="126" t="s">
        <v>167</v>
      </c>
      <c r="Q1" s="28" t="s">
        <v>168</v>
      </c>
      <c r="R1" s="28" t="s">
        <v>169</v>
      </c>
      <c r="S1" s="28" t="s">
        <v>170</v>
      </c>
      <c r="T1" s="28" t="s">
        <v>171</v>
      </c>
      <c r="U1" s="126" t="s">
        <v>172</v>
      </c>
      <c r="V1" s="28" t="s">
        <v>173</v>
      </c>
      <c r="W1" s="28" t="s">
        <v>174</v>
      </c>
      <c r="X1" s="28" t="s">
        <v>175</v>
      </c>
      <c r="Y1" s="28" t="s">
        <v>176</v>
      </c>
      <c r="Z1" s="28" t="s">
        <v>177</v>
      </c>
      <c r="AA1" s="28" t="s">
        <v>178</v>
      </c>
      <c r="AB1" s="28" t="s">
        <v>179</v>
      </c>
      <c r="AC1" s="28" t="s">
        <v>180</v>
      </c>
      <c r="AD1" s="28" t="s">
        <v>181</v>
      </c>
      <c r="AE1" s="28" t="s">
        <v>182</v>
      </c>
      <c r="AF1" s="28" t="s">
        <v>183</v>
      </c>
      <c r="AG1" s="28" t="s">
        <v>184</v>
      </c>
      <c r="AH1" s="127"/>
      <c r="AI1" s="127"/>
      <c r="AJ1" s="3" t="s">
        <v>0</v>
      </c>
      <c r="AK1" s="4"/>
      <c r="AL1" s="3" t="s">
        <v>1</v>
      </c>
      <c r="AM1" s="4"/>
      <c r="AN1" s="5" t="s">
        <v>2</v>
      </c>
      <c r="AO1" s="4"/>
      <c r="AP1" s="3" t="s">
        <v>3</v>
      </c>
      <c r="AQ1" s="4"/>
      <c r="AR1" s="3" t="s">
        <v>4</v>
      </c>
      <c r="AS1" s="4"/>
      <c r="AT1" s="3" t="s">
        <v>5</v>
      </c>
      <c r="AU1" s="4"/>
      <c r="AV1" s="3" t="s">
        <v>6</v>
      </c>
      <c r="AW1" s="4"/>
      <c r="AX1" s="3" t="s">
        <v>7</v>
      </c>
      <c r="AY1" s="4"/>
      <c r="AZ1" s="3" t="s">
        <v>8</v>
      </c>
      <c r="BA1" s="4"/>
    </row>
    <row r="2" ht="18.0" customHeight="1">
      <c r="A2" s="66" t="s">
        <v>185</v>
      </c>
      <c r="B2" s="128">
        <v>46106.48100694444</v>
      </c>
      <c r="C2" s="117" t="s">
        <v>138</v>
      </c>
      <c r="D2" s="66" t="s">
        <v>29</v>
      </c>
      <c r="E2" s="129">
        <v>0.625</v>
      </c>
      <c r="F2" s="129">
        <v>0.6736111111111112</v>
      </c>
      <c r="G2" s="66" t="s">
        <v>186</v>
      </c>
      <c r="H2" s="66" t="s">
        <v>117</v>
      </c>
      <c r="I2" s="66" t="s">
        <v>187</v>
      </c>
      <c r="J2" s="66" t="s">
        <v>118</v>
      </c>
      <c r="K2" s="66" t="s">
        <v>114</v>
      </c>
      <c r="L2" s="66">
        <v>5.45433423E8</v>
      </c>
      <c r="M2" s="66" t="s">
        <v>115</v>
      </c>
      <c r="N2" s="66" t="s">
        <v>137</v>
      </c>
      <c r="O2" s="66" t="s">
        <v>136</v>
      </c>
      <c r="P2" s="119">
        <v>150000.0</v>
      </c>
      <c r="Q2" s="66" t="s">
        <v>188</v>
      </c>
      <c r="R2" s="119">
        <v>0.0</v>
      </c>
      <c r="S2" s="66" t="s">
        <v>188</v>
      </c>
      <c r="T2" s="119">
        <v>0.0</v>
      </c>
      <c r="U2" s="119">
        <v>150000.0</v>
      </c>
      <c r="V2" s="119">
        <v>0.0</v>
      </c>
      <c r="W2" s="119">
        <v>0.0</v>
      </c>
      <c r="X2" s="66" t="s">
        <v>189</v>
      </c>
      <c r="Y2" s="66" t="s">
        <v>190</v>
      </c>
      <c r="Z2" s="66" t="s">
        <v>191</v>
      </c>
      <c r="AA2" s="66" t="s">
        <v>192</v>
      </c>
      <c r="AB2" s="66"/>
      <c r="AC2" s="119">
        <v>40000.0</v>
      </c>
      <c r="AD2" s="119">
        <v>10000.0</v>
      </c>
      <c r="AE2" s="66" t="s">
        <v>193</v>
      </c>
      <c r="AF2" s="66">
        <v>3.0</v>
      </c>
      <c r="AG2" s="66">
        <v>2026.0</v>
      </c>
      <c r="AH2" s="130"/>
      <c r="AI2" s="130"/>
      <c r="AJ2" s="7"/>
      <c r="AK2" s="8"/>
      <c r="AL2" s="7"/>
      <c r="AM2" s="8"/>
      <c r="AN2" s="7"/>
      <c r="AO2" s="8"/>
      <c r="AP2" s="7"/>
      <c r="AQ2" s="8"/>
      <c r="AR2" s="7"/>
      <c r="AS2" s="8"/>
      <c r="AT2" s="7"/>
      <c r="AU2" s="8"/>
      <c r="AV2" s="7"/>
      <c r="AW2" s="8"/>
      <c r="AX2" s="7"/>
      <c r="AY2" s="8"/>
      <c r="AZ2" s="7"/>
      <c r="BA2" s="8"/>
    </row>
    <row r="3" ht="14.25" customHeight="1">
      <c r="A3" s="66" t="s">
        <v>194</v>
      </c>
      <c r="B3" s="128">
        <v>46106.48451388889</v>
      </c>
      <c r="C3" s="117" t="s">
        <v>138</v>
      </c>
      <c r="D3" s="66" t="s">
        <v>29</v>
      </c>
      <c r="E3" s="129">
        <v>0.4722222222222222</v>
      </c>
      <c r="F3" s="129">
        <v>0.4930555555555556</v>
      </c>
      <c r="G3" s="66" t="s">
        <v>195</v>
      </c>
      <c r="H3" s="66" t="s">
        <v>145</v>
      </c>
      <c r="I3" s="66" t="s">
        <v>196</v>
      </c>
      <c r="J3" s="66" t="s">
        <v>197</v>
      </c>
      <c r="K3" s="66" t="s">
        <v>141</v>
      </c>
      <c r="L3" s="66">
        <v>8.97666555E8</v>
      </c>
      <c r="M3" s="66" t="s">
        <v>143</v>
      </c>
      <c r="N3" s="66" t="s">
        <v>144</v>
      </c>
      <c r="O3" s="66" t="s">
        <v>142</v>
      </c>
      <c r="P3" s="119">
        <v>50000.0</v>
      </c>
      <c r="Q3" s="66" t="s">
        <v>188</v>
      </c>
      <c r="R3" s="119">
        <v>0.0</v>
      </c>
      <c r="S3" s="66" t="s">
        <v>198</v>
      </c>
      <c r="T3" s="119">
        <v>25000.0</v>
      </c>
      <c r="U3" s="119">
        <v>75000.0</v>
      </c>
      <c r="V3" s="119">
        <v>0.0</v>
      </c>
      <c r="W3" s="119">
        <v>0.0</v>
      </c>
      <c r="X3" s="66" t="s">
        <v>189</v>
      </c>
      <c r="Y3" s="66" t="s">
        <v>190</v>
      </c>
      <c r="Z3" s="66" t="s">
        <v>191</v>
      </c>
      <c r="AA3" s="66" t="s">
        <v>192</v>
      </c>
      <c r="AB3" s="66"/>
      <c r="AC3" s="119">
        <v>10000.0</v>
      </c>
      <c r="AD3" s="119">
        <v>5000.0</v>
      </c>
      <c r="AE3" s="66" t="s">
        <v>193</v>
      </c>
      <c r="AF3" s="66">
        <v>3.0</v>
      </c>
      <c r="AG3" s="66">
        <v>2026.0</v>
      </c>
      <c r="AH3" s="130"/>
      <c r="AI3" s="130"/>
    </row>
    <row r="4" ht="14.25" customHeight="1">
      <c r="A4" s="66" t="s">
        <v>199</v>
      </c>
      <c r="B4" s="128">
        <v>46106.48554398148</v>
      </c>
      <c r="C4" s="117" t="s">
        <v>138</v>
      </c>
      <c r="D4" s="66" t="s">
        <v>29</v>
      </c>
      <c r="E4" s="129">
        <v>0.5486111111111112</v>
      </c>
      <c r="F4" s="129">
        <v>0.5694444444444444</v>
      </c>
      <c r="G4" s="66" t="s">
        <v>186</v>
      </c>
      <c r="H4" s="66" t="s">
        <v>151</v>
      </c>
      <c r="I4" s="66" t="s">
        <v>187</v>
      </c>
      <c r="J4" s="66" t="s">
        <v>200</v>
      </c>
      <c r="K4" s="66" t="s">
        <v>147</v>
      </c>
      <c r="L4" s="66">
        <v>2.13445432E8</v>
      </c>
      <c r="M4" s="66" t="s">
        <v>149</v>
      </c>
      <c r="N4" s="66" t="s">
        <v>150</v>
      </c>
      <c r="O4" s="66" t="s">
        <v>148</v>
      </c>
      <c r="P4" s="119">
        <v>60000.0</v>
      </c>
      <c r="Q4" s="66" t="s">
        <v>188</v>
      </c>
      <c r="R4" s="119">
        <v>0.0</v>
      </c>
      <c r="S4" s="66" t="s">
        <v>188</v>
      </c>
      <c r="T4" s="119">
        <v>0.0</v>
      </c>
      <c r="U4" s="119">
        <v>60000.0</v>
      </c>
      <c r="V4" s="119">
        <v>0.0</v>
      </c>
      <c r="W4" s="123">
        <v>0.0</v>
      </c>
      <c r="X4" s="66" t="s">
        <v>189</v>
      </c>
      <c r="Y4" s="121" t="s">
        <v>190</v>
      </c>
      <c r="Z4" s="121" t="s">
        <v>191</v>
      </c>
      <c r="AA4" s="121" t="s">
        <v>192</v>
      </c>
      <c r="AB4" s="66"/>
      <c r="AC4" s="119">
        <v>10000.0</v>
      </c>
      <c r="AD4" s="119">
        <v>5000.0</v>
      </c>
      <c r="AE4" s="66" t="s">
        <v>193</v>
      </c>
      <c r="AF4" s="66">
        <v>3.0</v>
      </c>
      <c r="AG4" s="66">
        <v>2026.0</v>
      </c>
      <c r="AH4" s="130"/>
      <c r="AI4" s="130"/>
    </row>
    <row r="5" ht="14.25" customHeight="1">
      <c r="A5" s="121" t="s">
        <v>201</v>
      </c>
      <c r="B5" s="131">
        <v>46108.3641087963</v>
      </c>
      <c r="C5" s="120" t="s">
        <v>156</v>
      </c>
      <c r="D5" s="121" t="s">
        <v>29</v>
      </c>
      <c r="E5" s="132">
        <v>0.375</v>
      </c>
      <c r="F5" s="132">
        <v>0.4166666666678793</v>
      </c>
      <c r="G5" s="121" t="s">
        <v>186</v>
      </c>
      <c r="H5" s="121" t="s">
        <v>202</v>
      </c>
      <c r="I5" s="121" t="s">
        <v>187</v>
      </c>
      <c r="J5" s="121" t="s">
        <v>203</v>
      </c>
      <c r="K5" s="121" t="s">
        <v>153</v>
      </c>
      <c r="L5" s="121">
        <v>3.45567669E9</v>
      </c>
      <c r="M5" s="121" t="s">
        <v>155</v>
      </c>
      <c r="N5" s="121" t="s">
        <v>150</v>
      </c>
      <c r="O5" s="121" t="s">
        <v>154</v>
      </c>
      <c r="P5" s="123">
        <v>85000.0</v>
      </c>
      <c r="Q5" s="121" t="s">
        <v>188</v>
      </c>
      <c r="R5" s="123">
        <v>0.0</v>
      </c>
      <c r="S5" s="121" t="s">
        <v>188</v>
      </c>
      <c r="T5" s="123">
        <v>0.0</v>
      </c>
      <c r="U5" s="123">
        <v>85000.0</v>
      </c>
      <c r="V5" s="123">
        <v>0.0</v>
      </c>
      <c r="W5" s="123">
        <v>0.0</v>
      </c>
      <c r="X5" s="121" t="s">
        <v>189</v>
      </c>
      <c r="Y5" s="121" t="s">
        <v>190</v>
      </c>
      <c r="Z5" s="121" t="s">
        <v>191</v>
      </c>
      <c r="AA5" s="121" t="s">
        <v>192</v>
      </c>
      <c r="AB5" s="66"/>
      <c r="AC5" s="123">
        <v>20000.0</v>
      </c>
      <c r="AD5" s="123">
        <v>10000.0</v>
      </c>
      <c r="AE5" s="121" t="s">
        <v>193</v>
      </c>
      <c r="AF5" s="133">
        <v>3.0</v>
      </c>
      <c r="AG5" s="133">
        <v>2026.0</v>
      </c>
      <c r="AH5" s="130"/>
      <c r="AI5" s="130"/>
    </row>
    <row r="6" ht="14.25" customHeight="1">
      <c r="A6" s="66"/>
      <c r="B6" s="134"/>
      <c r="C6" s="135"/>
      <c r="D6" s="66"/>
      <c r="E6" s="136"/>
      <c r="F6" s="136"/>
      <c r="G6" s="66"/>
      <c r="H6" s="66"/>
      <c r="I6" s="66"/>
      <c r="J6" s="66"/>
      <c r="K6" s="66"/>
      <c r="L6" s="66"/>
      <c r="M6" s="66"/>
      <c r="N6" s="66"/>
      <c r="O6" s="66"/>
      <c r="P6" s="119"/>
      <c r="Q6" s="66"/>
      <c r="R6" s="119"/>
      <c r="S6" s="66"/>
      <c r="T6" s="119"/>
      <c r="U6" s="119"/>
      <c r="V6" s="119"/>
      <c r="W6" s="119"/>
      <c r="X6" s="66"/>
      <c r="Y6" s="66"/>
      <c r="Z6" s="66"/>
      <c r="AA6" s="66"/>
      <c r="AB6" s="66"/>
      <c r="AC6" s="119"/>
      <c r="AD6" s="119"/>
      <c r="AE6" s="66"/>
      <c r="AF6" s="66"/>
      <c r="AG6" s="66"/>
      <c r="AH6" s="130"/>
      <c r="AI6" s="130"/>
    </row>
    <row r="7" ht="14.25" customHeight="1">
      <c r="A7" s="66"/>
      <c r="B7" s="134"/>
      <c r="C7" s="135"/>
      <c r="D7" s="66"/>
      <c r="E7" s="136"/>
      <c r="F7" s="136"/>
      <c r="G7" s="66"/>
      <c r="H7" s="66"/>
      <c r="I7" s="66"/>
      <c r="J7" s="66"/>
      <c r="K7" s="66"/>
      <c r="L7" s="66"/>
      <c r="M7" s="66"/>
      <c r="N7" s="66"/>
      <c r="O7" s="66"/>
      <c r="P7" s="119"/>
      <c r="Q7" s="66"/>
      <c r="R7" s="119"/>
      <c r="S7" s="66"/>
      <c r="T7" s="119"/>
      <c r="U7" s="119"/>
      <c r="V7" s="119"/>
      <c r="W7" s="119"/>
      <c r="X7" s="66"/>
      <c r="Y7" s="66"/>
      <c r="Z7" s="66"/>
      <c r="AA7" s="66"/>
      <c r="AB7" s="66"/>
      <c r="AC7" s="119"/>
      <c r="AD7" s="119"/>
      <c r="AE7" s="66"/>
      <c r="AF7" s="66"/>
      <c r="AG7" s="66"/>
      <c r="AH7" s="130"/>
      <c r="AI7" s="130"/>
    </row>
    <row r="8" ht="14.25" customHeight="1">
      <c r="A8" s="66"/>
      <c r="B8" s="134"/>
      <c r="C8" s="135"/>
      <c r="D8" s="66"/>
      <c r="E8" s="136"/>
      <c r="F8" s="136"/>
      <c r="G8" s="66"/>
      <c r="H8" s="66"/>
      <c r="I8" s="66"/>
      <c r="J8" s="66"/>
      <c r="K8" s="66"/>
      <c r="L8" s="66"/>
      <c r="M8" s="66"/>
      <c r="N8" s="66"/>
      <c r="O8" s="66"/>
      <c r="P8" s="119"/>
      <c r="Q8" s="66"/>
      <c r="R8" s="119"/>
      <c r="S8" s="66"/>
      <c r="T8" s="119"/>
      <c r="U8" s="119"/>
      <c r="V8" s="119"/>
      <c r="W8" s="119"/>
      <c r="X8" s="66"/>
      <c r="Y8" s="66"/>
      <c r="Z8" s="66"/>
      <c r="AA8" s="66"/>
      <c r="AB8" s="66"/>
      <c r="AC8" s="119"/>
      <c r="AD8" s="119"/>
      <c r="AE8" s="66"/>
      <c r="AF8" s="66"/>
      <c r="AG8" s="66"/>
      <c r="AH8" s="130"/>
      <c r="AI8" s="130"/>
    </row>
    <row r="9" ht="14.25" customHeight="1">
      <c r="A9" s="66"/>
      <c r="B9" s="134"/>
      <c r="C9" s="135"/>
      <c r="D9" s="66"/>
      <c r="E9" s="136"/>
      <c r="F9" s="136"/>
      <c r="G9" s="66"/>
      <c r="H9" s="66"/>
      <c r="I9" s="66"/>
      <c r="J9" s="66"/>
      <c r="K9" s="66"/>
      <c r="L9" s="66"/>
      <c r="M9" s="66"/>
      <c r="N9" s="66"/>
      <c r="O9" s="66"/>
      <c r="P9" s="119"/>
      <c r="Q9" s="66"/>
      <c r="R9" s="119"/>
      <c r="S9" s="66"/>
      <c r="T9" s="119"/>
      <c r="U9" s="119"/>
      <c r="V9" s="119"/>
      <c r="W9" s="119"/>
      <c r="X9" s="66"/>
      <c r="Y9" s="66"/>
      <c r="Z9" s="66"/>
      <c r="AA9" s="66"/>
      <c r="AB9" s="66"/>
      <c r="AC9" s="119"/>
      <c r="AD9" s="119"/>
      <c r="AE9" s="66"/>
      <c r="AF9" s="66"/>
      <c r="AG9" s="66"/>
      <c r="AH9" s="130"/>
      <c r="AI9" s="130"/>
    </row>
    <row r="10" ht="14.25" customHeight="1">
      <c r="A10" s="66"/>
      <c r="B10" s="134"/>
      <c r="C10" s="135"/>
      <c r="D10" s="66"/>
      <c r="E10" s="136"/>
      <c r="F10" s="136"/>
      <c r="G10" s="66"/>
      <c r="H10" s="66"/>
      <c r="I10" s="66"/>
      <c r="J10" s="66"/>
      <c r="K10" s="66"/>
      <c r="L10" s="66"/>
      <c r="M10" s="66"/>
      <c r="N10" s="66"/>
      <c r="O10" s="66"/>
      <c r="P10" s="119"/>
      <c r="Q10" s="66"/>
      <c r="R10" s="119"/>
      <c r="S10" s="66"/>
      <c r="T10" s="119"/>
      <c r="U10" s="119"/>
      <c r="V10" s="119"/>
      <c r="W10" s="119"/>
      <c r="X10" s="66"/>
      <c r="Y10" s="66"/>
      <c r="Z10" s="66"/>
      <c r="AA10" s="66"/>
      <c r="AB10" s="66"/>
      <c r="AC10" s="119"/>
      <c r="AD10" s="119"/>
      <c r="AE10" s="66"/>
      <c r="AF10" s="66"/>
      <c r="AG10" s="66"/>
      <c r="AH10" s="130"/>
      <c r="AI10" s="130"/>
    </row>
    <row r="11" ht="14.25" customHeight="1">
      <c r="A11" s="66"/>
      <c r="B11" s="134"/>
      <c r="C11" s="135"/>
      <c r="D11" s="66"/>
      <c r="E11" s="136"/>
      <c r="F11" s="136"/>
      <c r="G11" s="66"/>
      <c r="H11" s="66"/>
      <c r="I11" s="66"/>
      <c r="J11" s="66"/>
      <c r="K11" s="66"/>
      <c r="L11" s="66"/>
      <c r="M11" s="66"/>
      <c r="N11" s="66"/>
      <c r="O11" s="66"/>
      <c r="P11" s="119"/>
      <c r="Q11" s="66"/>
      <c r="R11" s="119"/>
      <c r="S11" s="66"/>
      <c r="T11" s="119"/>
      <c r="U11" s="119"/>
      <c r="V11" s="119"/>
      <c r="W11" s="119"/>
      <c r="X11" s="66"/>
      <c r="Y11" s="66"/>
      <c r="Z11" s="66"/>
      <c r="AA11" s="66"/>
      <c r="AB11" s="66"/>
      <c r="AC11" s="119"/>
      <c r="AD11" s="119"/>
      <c r="AE11" s="66"/>
      <c r="AF11" s="66"/>
      <c r="AG11" s="66"/>
      <c r="AH11" s="130"/>
      <c r="AI11" s="130"/>
    </row>
    <row r="12" ht="14.25" customHeight="1">
      <c r="A12" s="66"/>
      <c r="B12" s="134"/>
      <c r="C12" s="135"/>
      <c r="D12" s="66"/>
      <c r="E12" s="136"/>
      <c r="F12" s="136"/>
      <c r="G12" s="66"/>
      <c r="H12" s="66"/>
      <c r="I12" s="66"/>
      <c r="J12" s="66"/>
      <c r="K12" s="66"/>
      <c r="L12" s="66"/>
      <c r="M12" s="66"/>
      <c r="N12" s="66"/>
      <c r="O12" s="66"/>
      <c r="P12" s="119"/>
      <c r="Q12" s="66"/>
      <c r="R12" s="119"/>
      <c r="S12" s="66"/>
      <c r="T12" s="119"/>
      <c r="U12" s="119"/>
      <c r="V12" s="119"/>
      <c r="W12" s="119"/>
      <c r="X12" s="66"/>
      <c r="Y12" s="66"/>
      <c r="Z12" s="66"/>
      <c r="AA12" s="66"/>
      <c r="AB12" s="66"/>
      <c r="AC12" s="119"/>
      <c r="AD12" s="119"/>
      <c r="AE12" s="66"/>
      <c r="AF12" s="66"/>
      <c r="AG12" s="66"/>
      <c r="AH12" s="130"/>
      <c r="AI12" s="130"/>
    </row>
    <row r="13" ht="14.25" customHeight="1">
      <c r="A13" s="66"/>
      <c r="B13" s="134"/>
      <c r="C13" s="135"/>
      <c r="D13" s="66"/>
      <c r="E13" s="136"/>
      <c r="F13" s="136"/>
      <c r="G13" s="66"/>
      <c r="H13" s="66"/>
      <c r="I13" s="66"/>
      <c r="J13" s="66"/>
      <c r="K13" s="66"/>
      <c r="L13" s="66"/>
      <c r="M13" s="66"/>
      <c r="N13" s="66"/>
      <c r="O13" s="66"/>
      <c r="P13" s="119"/>
      <c r="Q13" s="66"/>
      <c r="R13" s="119"/>
      <c r="S13" s="66"/>
      <c r="T13" s="119"/>
      <c r="U13" s="119"/>
      <c r="V13" s="119"/>
      <c r="W13" s="119"/>
      <c r="X13" s="66"/>
      <c r="Y13" s="66"/>
      <c r="Z13" s="66"/>
      <c r="AA13" s="66"/>
      <c r="AB13" s="66"/>
      <c r="AC13" s="119"/>
      <c r="AD13" s="119"/>
      <c r="AE13" s="66"/>
      <c r="AF13" s="66"/>
      <c r="AG13" s="66"/>
      <c r="AH13" s="130"/>
      <c r="AI13" s="130"/>
    </row>
    <row r="14" ht="14.25" customHeight="1">
      <c r="A14" s="66"/>
      <c r="B14" s="134"/>
      <c r="C14" s="135"/>
      <c r="D14" s="66"/>
      <c r="E14" s="136"/>
      <c r="F14" s="136"/>
      <c r="G14" s="66"/>
      <c r="H14" s="66"/>
      <c r="I14" s="66"/>
      <c r="J14" s="66"/>
      <c r="K14" s="66"/>
      <c r="L14" s="66"/>
      <c r="M14" s="66"/>
      <c r="N14" s="66"/>
      <c r="O14" s="66"/>
      <c r="P14" s="119"/>
      <c r="Q14" s="66"/>
      <c r="R14" s="119"/>
      <c r="S14" s="66"/>
      <c r="T14" s="119"/>
      <c r="U14" s="119"/>
      <c r="V14" s="119"/>
      <c r="W14" s="119"/>
      <c r="X14" s="66"/>
      <c r="Y14" s="66"/>
      <c r="Z14" s="66"/>
      <c r="AA14" s="66"/>
      <c r="AB14" s="66"/>
      <c r="AC14" s="119"/>
      <c r="AD14" s="119"/>
      <c r="AE14" s="66"/>
      <c r="AF14" s="66"/>
      <c r="AG14" s="66"/>
      <c r="AH14" s="130"/>
      <c r="AI14" s="130"/>
    </row>
    <row r="15" ht="14.25" customHeight="1">
      <c r="A15" s="66"/>
      <c r="B15" s="134"/>
      <c r="C15" s="135"/>
      <c r="D15" s="66"/>
      <c r="E15" s="136"/>
      <c r="F15" s="136"/>
      <c r="G15" s="66"/>
      <c r="H15" s="66"/>
      <c r="I15" s="66"/>
      <c r="J15" s="66"/>
      <c r="K15" s="66"/>
      <c r="L15" s="66"/>
      <c r="M15" s="66"/>
      <c r="N15" s="66"/>
      <c r="O15" s="66"/>
      <c r="P15" s="119"/>
      <c r="Q15" s="66"/>
      <c r="R15" s="119"/>
      <c r="S15" s="66"/>
      <c r="T15" s="119"/>
      <c r="U15" s="119"/>
      <c r="V15" s="119"/>
      <c r="W15" s="119"/>
      <c r="X15" s="66"/>
      <c r="Y15" s="66"/>
      <c r="Z15" s="66"/>
      <c r="AA15" s="66"/>
      <c r="AB15" s="66"/>
      <c r="AC15" s="119"/>
      <c r="AD15" s="119"/>
      <c r="AE15" s="66"/>
      <c r="AF15" s="66"/>
      <c r="AG15" s="66"/>
      <c r="AH15" s="130"/>
      <c r="AI15" s="130"/>
    </row>
    <row r="16" ht="14.25" customHeight="1">
      <c r="A16" s="66"/>
      <c r="B16" s="134"/>
      <c r="C16" s="135"/>
      <c r="D16" s="66"/>
      <c r="E16" s="136"/>
      <c r="F16" s="136"/>
      <c r="G16" s="66"/>
      <c r="H16" s="66"/>
      <c r="I16" s="66"/>
      <c r="J16" s="66"/>
      <c r="K16" s="66"/>
      <c r="L16" s="66"/>
      <c r="M16" s="66"/>
      <c r="N16" s="66"/>
      <c r="O16" s="66"/>
      <c r="P16" s="119"/>
      <c r="Q16" s="66"/>
      <c r="R16" s="119"/>
      <c r="S16" s="66"/>
      <c r="T16" s="119"/>
      <c r="U16" s="119"/>
      <c r="V16" s="119"/>
      <c r="W16" s="119"/>
      <c r="X16" s="66"/>
      <c r="Y16" s="66"/>
      <c r="Z16" s="66"/>
      <c r="AA16" s="66"/>
      <c r="AB16" s="66"/>
      <c r="AC16" s="119"/>
      <c r="AD16" s="119"/>
      <c r="AE16" s="66"/>
      <c r="AF16" s="66"/>
      <c r="AG16" s="66"/>
      <c r="AH16" s="130"/>
      <c r="AI16" s="130"/>
    </row>
    <row r="17" ht="14.25" customHeight="1">
      <c r="A17" s="66"/>
      <c r="B17" s="134"/>
      <c r="C17" s="135"/>
      <c r="D17" s="66"/>
      <c r="E17" s="136"/>
      <c r="F17" s="136"/>
      <c r="G17" s="66"/>
      <c r="H17" s="66"/>
      <c r="I17" s="66"/>
      <c r="J17" s="66"/>
      <c r="K17" s="66"/>
      <c r="L17" s="66"/>
      <c r="M17" s="66"/>
      <c r="N17" s="66"/>
      <c r="O17" s="66"/>
      <c r="P17" s="119"/>
      <c r="Q17" s="66"/>
      <c r="R17" s="119"/>
      <c r="S17" s="66"/>
      <c r="T17" s="119"/>
      <c r="U17" s="119"/>
      <c r="V17" s="119"/>
      <c r="W17" s="119"/>
      <c r="X17" s="66"/>
      <c r="Y17" s="66"/>
      <c r="Z17" s="66"/>
      <c r="AA17" s="66"/>
      <c r="AB17" s="66"/>
      <c r="AC17" s="119"/>
      <c r="AD17" s="119"/>
      <c r="AE17" s="66"/>
      <c r="AF17" s="66"/>
      <c r="AG17" s="66"/>
      <c r="AH17" s="130"/>
      <c r="AI17" s="130"/>
    </row>
    <row r="18" ht="14.25" customHeight="1">
      <c r="A18" s="66"/>
      <c r="B18" s="134"/>
      <c r="C18" s="135"/>
      <c r="D18" s="66"/>
      <c r="E18" s="136"/>
      <c r="F18" s="136"/>
      <c r="G18" s="66"/>
      <c r="H18" s="66"/>
      <c r="I18" s="66"/>
      <c r="J18" s="66"/>
      <c r="K18" s="66"/>
      <c r="L18" s="66"/>
      <c r="M18" s="66"/>
      <c r="N18" s="66"/>
      <c r="O18" s="66"/>
      <c r="P18" s="119"/>
      <c r="Q18" s="66"/>
      <c r="R18" s="119"/>
      <c r="S18" s="66"/>
      <c r="T18" s="119"/>
      <c r="U18" s="119"/>
      <c r="V18" s="119"/>
      <c r="W18" s="119"/>
      <c r="X18" s="66"/>
      <c r="Y18" s="66"/>
      <c r="Z18" s="66"/>
      <c r="AA18" s="66"/>
      <c r="AB18" s="66"/>
      <c r="AC18" s="119"/>
      <c r="AD18" s="119"/>
      <c r="AE18" s="66"/>
      <c r="AF18" s="66"/>
      <c r="AG18" s="66"/>
      <c r="AH18" s="130"/>
      <c r="AI18" s="130"/>
    </row>
    <row r="19" ht="15.75" customHeight="1">
      <c r="A19" s="66"/>
      <c r="B19" s="134"/>
      <c r="C19" s="135"/>
      <c r="D19" s="66"/>
      <c r="E19" s="136"/>
      <c r="F19" s="136"/>
      <c r="G19" s="66"/>
      <c r="H19" s="66"/>
      <c r="I19" s="66"/>
      <c r="J19" s="66"/>
      <c r="K19" s="66"/>
      <c r="L19" s="66"/>
      <c r="M19" s="66"/>
      <c r="N19" s="66"/>
      <c r="O19" s="66"/>
      <c r="P19" s="119"/>
      <c r="Q19" s="66"/>
      <c r="R19" s="119"/>
      <c r="S19" s="66"/>
      <c r="T19" s="119"/>
      <c r="U19" s="119"/>
      <c r="V19" s="119"/>
      <c r="W19" s="119"/>
      <c r="X19" s="66"/>
      <c r="Y19" s="66"/>
      <c r="Z19" s="66"/>
      <c r="AA19" s="66"/>
      <c r="AB19" s="66"/>
      <c r="AC19" s="119"/>
      <c r="AD19" s="119"/>
      <c r="AE19" s="66"/>
      <c r="AF19" s="66"/>
      <c r="AG19" s="66"/>
      <c r="AH19" s="130"/>
      <c r="AI19" s="130"/>
    </row>
    <row r="20" ht="15.75" customHeight="1">
      <c r="A20" s="66"/>
      <c r="B20" s="134"/>
      <c r="C20" s="135"/>
      <c r="D20" s="66"/>
      <c r="E20" s="136"/>
      <c r="F20" s="136"/>
      <c r="G20" s="66"/>
      <c r="H20" s="66"/>
      <c r="I20" s="66"/>
      <c r="J20" s="66"/>
      <c r="K20" s="66"/>
      <c r="L20" s="66"/>
      <c r="M20" s="66"/>
      <c r="N20" s="66"/>
      <c r="O20" s="66"/>
      <c r="P20" s="119"/>
      <c r="Q20" s="66"/>
      <c r="R20" s="119"/>
      <c r="S20" s="66"/>
      <c r="T20" s="119"/>
      <c r="U20" s="119"/>
      <c r="V20" s="119"/>
      <c r="W20" s="119"/>
      <c r="X20" s="66"/>
      <c r="Y20" s="66"/>
      <c r="Z20" s="66"/>
      <c r="AA20" s="66"/>
      <c r="AB20" s="66"/>
      <c r="AC20" s="119"/>
      <c r="AD20" s="119"/>
      <c r="AE20" s="66"/>
      <c r="AF20" s="66"/>
      <c r="AG20" s="66"/>
      <c r="AH20" s="130"/>
      <c r="AI20" s="130"/>
    </row>
    <row r="21" ht="15.75" customHeight="1">
      <c r="A21" s="66"/>
      <c r="B21" s="134"/>
      <c r="C21" s="135"/>
      <c r="D21" s="66"/>
      <c r="E21" s="136"/>
      <c r="F21" s="136"/>
      <c r="G21" s="66"/>
      <c r="H21" s="66"/>
      <c r="I21" s="66"/>
      <c r="J21" s="66"/>
      <c r="K21" s="66"/>
      <c r="L21" s="66"/>
      <c r="M21" s="66"/>
      <c r="N21" s="66"/>
      <c r="O21" s="66"/>
      <c r="P21" s="119"/>
      <c r="Q21" s="66"/>
      <c r="R21" s="119"/>
      <c r="S21" s="66"/>
      <c r="T21" s="119"/>
      <c r="U21" s="119"/>
      <c r="V21" s="119"/>
      <c r="W21" s="119"/>
      <c r="X21" s="66"/>
      <c r="Y21" s="66"/>
      <c r="Z21" s="66"/>
      <c r="AA21" s="66"/>
      <c r="AB21" s="66"/>
      <c r="AC21" s="119"/>
      <c r="AD21" s="119"/>
      <c r="AE21" s="66"/>
      <c r="AF21" s="66"/>
      <c r="AG21" s="66"/>
      <c r="AH21" s="130"/>
      <c r="AI21" s="130"/>
    </row>
    <row r="22" ht="15.75" customHeight="1">
      <c r="A22" s="66"/>
      <c r="B22" s="134"/>
      <c r="C22" s="135"/>
      <c r="D22" s="66"/>
      <c r="E22" s="136"/>
      <c r="F22" s="136"/>
      <c r="G22" s="66"/>
      <c r="H22" s="66"/>
      <c r="I22" s="66"/>
      <c r="J22" s="66"/>
      <c r="K22" s="66"/>
      <c r="L22" s="66"/>
      <c r="M22" s="66"/>
      <c r="N22" s="66"/>
      <c r="O22" s="66"/>
      <c r="P22" s="119"/>
      <c r="Q22" s="66"/>
      <c r="R22" s="119"/>
      <c r="S22" s="66"/>
      <c r="T22" s="119"/>
      <c r="U22" s="119"/>
      <c r="V22" s="119"/>
      <c r="W22" s="119"/>
      <c r="X22" s="66"/>
      <c r="Y22" s="66"/>
      <c r="Z22" s="66"/>
      <c r="AA22" s="66"/>
      <c r="AB22" s="66"/>
      <c r="AC22" s="119"/>
      <c r="AD22" s="119"/>
      <c r="AE22" s="66"/>
      <c r="AF22" s="66"/>
      <c r="AG22" s="66"/>
      <c r="AH22" s="130"/>
      <c r="AI22" s="130"/>
    </row>
    <row r="23" ht="15.75" customHeight="1">
      <c r="A23" s="66"/>
      <c r="B23" s="134"/>
      <c r="C23" s="135"/>
      <c r="D23" s="66"/>
      <c r="E23" s="136"/>
      <c r="F23" s="136"/>
      <c r="G23" s="66"/>
      <c r="H23" s="66"/>
      <c r="I23" s="66"/>
      <c r="J23" s="66"/>
      <c r="K23" s="66"/>
      <c r="L23" s="66"/>
      <c r="M23" s="66"/>
      <c r="N23" s="66"/>
      <c r="O23" s="66"/>
      <c r="P23" s="119"/>
      <c r="Q23" s="66"/>
      <c r="R23" s="119"/>
      <c r="S23" s="66"/>
      <c r="T23" s="119"/>
      <c r="U23" s="119"/>
      <c r="V23" s="119"/>
      <c r="W23" s="119"/>
      <c r="X23" s="66"/>
      <c r="Y23" s="66"/>
      <c r="Z23" s="66"/>
      <c r="AA23" s="66"/>
      <c r="AB23" s="66"/>
      <c r="AC23" s="119"/>
      <c r="AD23" s="119"/>
      <c r="AE23" s="66"/>
      <c r="AF23" s="66"/>
      <c r="AG23" s="66"/>
      <c r="AH23" s="130"/>
      <c r="AI23" s="130"/>
    </row>
    <row r="24" ht="15.75" customHeight="1">
      <c r="A24" s="66"/>
      <c r="B24" s="134"/>
      <c r="C24" s="135"/>
      <c r="D24" s="66"/>
      <c r="E24" s="136"/>
      <c r="F24" s="136"/>
      <c r="G24" s="66"/>
      <c r="H24" s="66"/>
      <c r="I24" s="66"/>
      <c r="J24" s="66"/>
      <c r="K24" s="66"/>
      <c r="L24" s="66"/>
      <c r="M24" s="66"/>
      <c r="N24" s="66"/>
      <c r="O24" s="66"/>
      <c r="P24" s="119"/>
      <c r="Q24" s="66"/>
      <c r="R24" s="119"/>
      <c r="S24" s="66"/>
      <c r="T24" s="119"/>
      <c r="U24" s="119"/>
      <c r="V24" s="119"/>
      <c r="W24" s="119"/>
      <c r="X24" s="66"/>
      <c r="Y24" s="66"/>
      <c r="Z24" s="66"/>
      <c r="AA24" s="66"/>
      <c r="AB24" s="66"/>
      <c r="AC24" s="119"/>
      <c r="AD24" s="119"/>
      <c r="AE24" s="66"/>
      <c r="AF24" s="66"/>
      <c r="AG24" s="66"/>
      <c r="AH24" s="130"/>
      <c r="AI24" s="130"/>
    </row>
    <row r="25" ht="15.75" customHeight="1">
      <c r="A25" s="66"/>
      <c r="B25" s="134"/>
      <c r="C25" s="135"/>
      <c r="D25" s="66"/>
      <c r="E25" s="136"/>
      <c r="F25" s="136"/>
      <c r="G25" s="66"/>
      <c r="H25" s="66"/>
      <c r="I25" s="66"/>
      <c r="J25" s="66"/>
      <c r="K25" s="66"/>
      <c r="L25" s="66"/>
      <c r="M25" s="66"/>
      <c r="N25" s="66"/>
      <c r="O25" s="66"/>
      <c r="P25" s="119"/>
      <c r="Q25" s="66"/>
      <c r="R25" s="119"/>
      <c r="S25" s="66"/>
      <c r="T25" s="119"/>
      <c r="U25" s="119"/>
      <c r="V25" s="119"/>
      <c r="W25" s="119"/>
      <c r="X25" s="66"/>
      <c r="Y25" s="66"/>
      <c r="Z25" s="66"/>
      <c r="AA25" s="66"/>
      <c r="AB25" s="66"/>
      <c r="AC25" s="119"/>
      <c r="AD25" s="119"/>
      <c r="AE25" s="66"/>
      <c r="AF25" s="66"/>
      <c r="AG25" s="66"/>
      <c r="AH25" s="130"/>
      <c r="AI25" s="130"/>
    </row>
    <row r="26" ht="15.75" customHeight="1">
      <c r="A26" s="66"/>
      <c r="B26" s="134"/>
      <c r="C26" s="135"/>
      <c r="D26" s="66"/>
      <c r="E26" s="136"/>
      <c r="F26" s="136"/>
      <c r="G26" s="66"/>
      <c r="H26" s="66"/>
      <c r="I26" s="66"/>
      <c r="J26" s="66"/>
      <c r="K26" s="66"/>
      <c r="L26" s="66"/>
      <c r="M26" s="66"/>
      <c r="N26" s="66"/>
      <c r="O26" s="66"/>
      <c r="P26" s="119"/>
      <c r="Q26" s="66"/>
      <c r="R26" s="119"/>
      <c r="S26" s="66"/>
      <c r="T26" s="119"/>
      <c r="U26" s="119"/>
      <c r="V26" s="119"/>
      <c r="W26" s="119"/>
      <c r="X26" s="66"/>
      <c r="Y26" s="66"/>
      <c r="Z26" s="66"/>
      <c r="AA26" s="66"/>
      <c r="AB26" s="66"/>
      <c r="AC26" s="119"/>
      <c r="AD26" s="119"/>
      <c r="AE26" s="66"/>
      <c r="AF26" s="66"/>
      <c r="AG26" s="66"/>
      <c r="AH26" s="130"/>
      <c r="AI26" s="130"/>
    </row>
    <row r="27" ht="15.75" customHeight="1">
      <c r="A27" s="66"/>
      <c r="B27" s="134"/>
      <c r="C27" s="135"/>
      <c r="D27" s="66"/>
      <c r="E27" s="136"/>
      <c r="F27" s="136"/>
      <c r="G27" s="66"/>
      <c r="H27" s="66"/>
      <c r="I27" s="66"/>
      <c r="J27" s="66"/>
      <c r="K27" s="66"/>
      <c r="L27" s="66"/>
      <c r="M27" s="66"/>
      <c r="N27" s="66"/>
      <c r="O27" s="66"/>
      <c r="P27" s="119"/>
      <c r="Q27" s="66"/>
      <c r="R27" s="119"/>
      <c r="S27" s="66"/>
      <c r="T27" s="119"/>
      <c r="U27" s="119"/>
      <c r="V27" s="119"/>
      <c r="W27" s="119"/>
      <c r="X27" s="66"/>
      <c r="Y27" s="66"/>
      <c r="Z27" s="66"/>
      <c r="AA27" s="66"/>
      <c r="AB27" s="66"/>
      <c r="AC27" s="119"/>
      <c r="AD27" s="119"/>
      <c r="AE27" s="66"/>
      <c r="AF27" s="66"/>
      <c r="AG27" s="66"/>
      <c r="AH27" s="130"/>
      <c r="AI27" s="130"/>
    </row>
    <row r="28" ht="15.75" customHeight="1">
      <c r="A28" s="66"/>
      <c r="B28" s="134"/>
      <c r="C28" s="135"/>
      <c r="D28" s="66"/>
      <c r="E28" s="136"/>
      <c r="F28" s="136"/>
      <c r="G28" s="66"/>
      <c r="H28" s="66"/>
      <c r="I28" s="66"/>
      <c r="J28" s="66"/>
      <c r="K28" s="66"/>
      <c r="L28" s="66"/>
      <c r="M28" s="66"/>
      <c r="N28" s="66"/>
      <c r="O28" s="66"/>
      <c r="P28" s="119"/>
      <c r="Q28" s="66"/>
      <c r="R28" s="119"/>
      <c r="S28" s="66"/>
      <c r="T28" s="119"/>
      <c r="U28" s="119"/>
      <c r="V28" s="119"/>
      <c r="W28" s="119"/>
      <c r="X28" s="66"/>
      <c r="Y28" s="66"/>
      <c r="Z28" s="66"/>
      <c r="AA28" s="66"/>
      <c r="AB28" s="66"/>
      <c r="AC28" s="119"/>
      <c r="AD28" s="119"/>
      <c r="AE28" s="66"/>
      <c r="AF28" s="66"/>
      <c r="AG28" s="66"/>
      <c r="AH28" s="130"/>
      <c r="AI28" s="130"/>
    </row>
    <row r="29" ht="15.75" customHeight="1">
      <c r="A29" s="66"/>
      <c r="B29" s="134"/>
      <c r="C29" s="135"/>
      <c r="D29" s="66"/>
      <c r="E29" s="136"/>
      <c r="F29" s="136"/>
      <c r="G29" s="66"/>
      <c r="H29" s="66"/>
      <c r="I29" s="66"/>
      <c r="J29" s="66"/>
      <c r="K29" s="66"/>
      <c r="L29" s="66"/>
      <c r="M29" s="66"/>
      <c r="N29" s="66"/>
      <c r="O29" s="66"/>
      <c r="P29" s="119"/>
      <c r="Q29" s="66"/>
      <c r="R29" s="119"/>
      <c r="S29" s="66"/>
      <c r="T29" s="119"/>
      <c r="U29" s="119"/>
      <c r="V29" s="119"/>
      <c r="W29" s="119"/>
      <c r="X29" s="66"/>
      <c r="Y29" s="66"/>
      <c r="Z29" s="66"/>
      <c r="AA29" s="66"/>
      <c r="AB29" s="66"/>
      <c r="AC29" s="119"/>
      <c r="AD29" s="119"/>
      <c r="AE29" s="66"/>
      <c r="AF29" s="66"/>
      <c r="AG29" s="66"/>
      <c r="AH29" s="130"/>
      <c r="AI29" s="130"/>
    </row>
    <row r="30" ht="15.75" customHeight="1">
      <c r="A30" s="66"/>
      <c r="B30" s="134"/>
      <c r="C30" s="135"/>
      <c r="D30" s="66"/>
      <c r="E30" s="136"/>
      <c r="F30" s="136"/>
      <c r="G30" s="66"/>
      <c r="H30" s="66"/>
      <c r="I30" s="66"/>
      <c r="J30" s="66"/>
      <c r="K30" s="66"/>
      <c r="L30" s="66"/>
      <c r="M30" s="66"/>
      <c r="N30" s="66"/>
      <c r="O30" s="66"/>
      <c r="P30" s="119"/>
      <c r="Q30" s="66"/>
      <c r="R30" s="119"/>
      <c r="S30" s="66"/>
      <c r="T30" s="119"/>
      <c r="U30" s="119"/>
      <c r="V30" s="119"/>
      <c r="W30" s="119"/>
      <c r="X30" s="66"/>
      <c r="Y30" s="66"/>
      <c r="Z30" s="66"/>
      <c r="AA30" s="66"/>
      <c r="AB30" s="66"/>
      <c r="AC30" s="119"/>
      <c r="AD30" s="119"/>
      <c r="AE30" s="66"/>
      <c r="AF30" s="66"/>
      <c r="AG30" s="66"/>
      <c r="AH30" s="130"/>
      <c r="AI30" s="130"/>
    </row>
    <row r="31" ht="15.75" customHeight="1">
      <c r="A31" s="66"/>
      <c r="B31" s="134"/>
      <c r="C31" s="135"/>
      <c r="D31" s="66"/>
      <c r="E31" s="136"/>
      <c r="F31" s="136"/>
      <c r="G31" s="66"/>
      <c r="H31" s="66"/>
      <c r="I31" s="66"/>
      <c r="J31" s="66"/>
      <c r="K31" s="66"/>
      <c r="L31" s="66"/>
      <c r="M31" s="66"/>
      <c r="N31" s="66"/>
      <c r="O31" s="66"/>
      <c r="P31" s="119"/>
      <c r="Q31" s="66"/>
      <c r="R31" s="119"/>
      <c r="S31" s="66"/>
      <c r="T31" s="119"/>
      <c r="U31" s="119"/>
      <c r="V31" s="119"/>
      <c r="W31" s="119"/>
      <c r="X31" s="66"/>
      <c r="Y31" s="66"/>
      <c r="Z31" s="66"/>
      <c r="AA31" s="66"/>
      <c r="AB31" s="66"/>
      <c r="AC31" s="119"/>
      <c r="AD31" s="119"/>
      <c r="AE31" s="66"/>
      <c r="AF31" s="66"/>
      <c r="AG31" s="66"/>
      <c r="AH31" s="130"/>
      <c r="AI31" s="130"/>
    </row>
    <row r="32" ht="15.75" customHeight="1">
      <c r="A32" s="66"/>
      <c r="B32" s="134"/>
      <c r="C32" s="135"/>
      <c r="D32" s="66"/>
      <c r="E32" s="136"/>
      <c r="F32" s="136"/>
      <c r="G32" s="66"/>
      <c r="H32" s="66"/>
      <c r="I32" s="66"/>
      <c r="J32" s="66"/>
      <c r="K32" s="66"/>
      <c r="L32" s="66"/>
      <c r="M32" s="66"/>
      <c r="N32" s="66"/>
      <c r="O32" s="66"/>
      <c r="P32" s="119"/>
      <c r="Q32" s="66"/>
      <c r="R32" s="119"/>
      <c r="S32" s="66"/>
      <c r="T32" s="119"/>
      <c r="U32" s="119"/>
      <c r="V32" s="119"/>
      <c r="W32" s="119"/>
      <c r="X32" s="66"/>
      <c r="Y32" s="66"/>
      <c r="Z32" s="66"/>
      <c r="AA32" s="66"/>
      <c r="AB32" s="66"/>
      <c r="AC32" s="119"/>
      <c r="AD32" s="119"/>
      <c r="AE32" s="66"/>
      <c r="AF32" s="66"/>
      <c r="AG32" s="66"/>
      <c r="AH32" s="130"/>
      <c r="AI32" s="130"/>
    </row>
    <row r="33" ht="15.75" customHeight="1">
      <c r="A33" s="66"/>
      <c r="B33" s="134"/>
      <c r="C33" s="135"/>
      <c r="D33" s="66"/>
      <c r="E33" s="136"/>
      <c r="F33" s="136"/>
      <c r="G33" s="66"/>
      <c r="H33" s="66"/>
      <c r="I33" s="66"/>
      <c r="J33" s="66"/>
      <c r="K33" s="66"/>
      <c r="L33" s="66"/>
      <c r="M33" s="66"/>
      <c r="N33" s="66"/>
      <c r="O33" s="66"/>
      <c r="P33" s="119"/>
      <c r="Q33" s="66"/>
      <c r="R33" s="119"/>
      <c r="S33" s="66"/>
      <c r="T33" s="119"/>
      <c r="U33" s="119"/>
      <c r="V33" s="119"/>
      <c r="W33" s="119"/>
      <c r="X33" s="66"/>
      <c r="Y33" s="66"/>
      <c r="Z33" s="66"/>
      <c r="AA33" s="66"/>
      <c r="AB33" s="66"/>
      <c r="AC33" s="119"/>
      <c r="AD33" s="119"/>
      <c r="AE33" s="66"/>
      <c r="AF33" s="66"/>
      <c r="AG33" s="66"/>
      <c r="AH33" s="130"/>
      <c r="AI33" s="130"/>
    </row>
    <row r="34" ht="15.75" customHeight="1">
      <c r="A34" s="66"/>
      <c r="B34" s="134"/>
      <c r="C34" s="135"/>
      <c r="D34" s="66"/>
      <c r="E34" s="136"/>
      <c r="F34" s="136"/>
      <c r="G34" s="66"/>
      <c r="H34" s="66"/>
      <c r="I34" s="66"/>
      <c r="J34" s="66"/>
      <c r="K34" s="66"/>
      <c r="L34" s="66"/>
      <c r="M34" s="66"/>
      <c r="N34" s="66"/>
      <c r="O34" s="66"/>
      <c r="P34" s="119"/>
      <c r="Q34" s="66"/>
      <c r="R34" s="119"/>
      <c r="S34" s="66"/>
      <c r="T34" s="119"/>
      <c r="U34" s="119"/>
      <c r="V34" s="119"/>
      <c r="W34" s="119"/>
      <c r="X34" s="66"/>
      <c r="Y34" s="66"/>
      <c r="Z34" s="66"/>
      <c r="AA34" s="66"/>
      <c r="AB34" s="66"/>
      <c r="AC34" s="119"/>
      <c r="AD34" s="119"/>
      <c r="AE34" s="66"/>
      <c r="AF34" s="66"/>
      <c r="AG34" s="66"/>
      <c r="AH34" s="130"/>
      <c r="AI34" s="130"/>
    </row>
    <row r="35" ht="15.75" customHeight="1">
      <c r="A35" s="66"/>
      <c r="B35" s="134"/>
      <c r="C35" s="135"/>
      <c r="D35" s="66"/>
      <c r="E35" s="136"/>
      <c r="F35" s="136"/>
      <c r="G35" s="66"/>
      <c r="H35" s="66"/>
      <c r="I35" s="66"/>
      <c r="J35" s="66"/>
      <c r="K35" s="66"/>
      <c r="L35" s="66"/>
      <c r="M35" s="66"/>
      <c r="N35" s="66"/>
      <c r="O35" s="66"/>
      <c r="P35" s="119"/>
      <c r="Q35" s="66"/>
      <c r="R35" s="119"/>
      <c r="S35" s="66"/>
      <c r="T35" s="119"/>
      <c r="U35" s="119"/>
      <c r="V35" s="119"/>
      <c r="W35" s="119"/>
      <c r="X35" s="66"/>
      <c r="Y35" s="66"/>
      <c r="Z35" s="66"/>
      <c r="AA35" s="66"/>
      <c r="AB35" s="66"/>
      <c r="AC35" s="119"/>
      <c r="AD35" s="119"/>
      <c r="AE35" s="66"/>
      <c r="AF35" s="66"/>
      <c r="AG35" s="66"/>
      <c r="AH35" s="130"/>
      <c r="AI35" s="130"/>
    </row>
    <row r="36" ht="15.75" customHeight="1">
      <c r="A36" s="66"/>
      <c r="B36" s="134"/>
      <c r="C36" s="135"/>
      <c r="D36" s="66"/>
      <c r="E36" s="136"/>
      <c r="F36" s="136"/>
      <c r="G36" s="66"/>
      <c r="H36" s="66"/>
      <c r="I36" s="66"/>
      <c r="J36" s="66"/>
      <c r="K36" s="66"/>
      <c r="L36" s="66"/>
      <c r="M36" s="66"/>
      <c r="N36" s="66"/>
      <c r="O36" s="66"/>
      <c r="P36" s="119"/>
      <c r="Q36" s="66"/>
      <c r="R36" s="119"/>
      <c r="S36" s="66"/>
      <c r="T36" s="119"/>
      <c r="U36" s="119"/>
      <c r="V36" s="119"/>
      <c r="W36" s="119"/>
      <c r="X36" s="66"/>
      <c r="Y36" s="66"/>
      <c r="Z36" s="66"/>
      <c r="AA36" s="66"/>
      <c r="AB36" s="66"/>
      <c r="AC36" s="119"/>
      <c r="AD36" s="119"/>
      <c r="AE36" s="66"/>
      <c r="AF36" s="66"/>
      <c r="AG36" s="66"/>
      <c r="AH36" s="130"/>
      <c r="AI36" s="130"/>
    </row>
    <row r="37" ht="15.75" customHeight="1">
      <c r="A37" s="66"/>
      <c r="B37" s="134"/>
      <c r="C37" s="135"/>
      <c r="D37" s="66"/>
      <c r="E37" s="136"/>
      <c r="F37" s="136"/>
      <c r="G37" s="66"/>
      <c r="H37" s="66"/>
      <c r="I37" s="66"/>
      <c r="J37" s="66"/>
      <c r="K37" s="66"/>
      <c r="L37" s="66"/>
      <c r="M37" s="66"/>
      <c r="N37" s="66"/>
      <c r="O37" s="66"/>
      <c r="P37" s="119"/>
      <c r="Q37" s="66"/>
      <c r="R37" s="119"/>
      <c r="S37" s="66"/>
      <c r="T37" s="119"/>
      <c r="U37" s="119"/>
      <c r="V37" s="119"/>
      <c r="W37" s="119"/>
      <c r="X37" s="66"/>
      <c r="Y37" s="66"/>
      <c r="Z37" s="66"/>
      <c r="AA37" s="66"/>
      <c r="AB37" s="66"/>
      <c r="AC37" s="119"/>
      <c r="AD37" s="119"/>
      <c r="AE37" s="66"/>
      <c r="AF37" s="66"/>
      <c r="AG37" s="66"/>
      <c r="AH37" s="130"/>
      <c r="AI37" s="130"/>
    </row>
    <row r="38" ht="15.75" customHeight="1">
      <c r="A38" s="66"/>
      <c r="B38" s="134"/>
      <c r="C38" s="135"/>
      <c r="D38" s="66"/>
      <c r="E38" s="136"/>
      <c r="F38" s="136"/>
      <c r="G38" s="66"/>
      <c r="H38" s="66"/>
      <c r="I38" s="66"/>
      <c r="J38" s="66"/>
      <c r="K38" s="66"/>
      <c r="L38" s="66"/>
      <c r="M38" s="66"/>
      <c r="N38" s="66"/>
      <c r="O38" s="66"/>
      <c r="P38" s="119"/>
      <c r="Q38" s="66"/>
      <c r="R38" s="119"/>
      <c r="S38" s="66"/>
      <c r="T38" s="119"/>
      <c r="U38" s="119"/>
      <c r="V38" s="119"/>
      <c r="W38" s="119"/>
      <c r="X38" s="66"/>
      <c r="Y38" s="66"/>
      <c r="Z38" s="66"/>
      <c r="AA38" s="66"/>
      <c r="AB38" s="66"/>
      <c r="AC38" s="119"/>
      <c r="AD38" s="119"/>
      <c r="AE38" s="66"/>
      <c r="AF38" s="66"/>
      <c r="AG38" s="66"/>
      <c r="AH38" s="130"/>
      <c r="AI38" s="130"/>
    </row>
    <row r="39" ht="15.75" customHeight="1">
      <c r="A39" s="66"/>
      <c r="B39" s="134"/>
      <c r="C39" s="135"/>
      <c r="D39" s="66"/>
      <c r="E39" s="136"/>
      <c r="F39" s="136"/>
      <c r="G39" s="66"/>
      <c r="H39" s="66"/>
      <c r="I39" s="66"/>
      <c r="J39" s="66"/>
      <c r="K39" s="66"/>
      <c r="L39" s="66"/>
      <c r="M39" s="66"/>
      <c r="N39" s="66"/>
      <c r="O39" s="66"/>
      <c r="P39" s="119"/>
      <c r="Q39" s="66"/>
      <c r="R39" s="119"/>
      <c r="S39" s="66"/>
      <c r="T39" s="119"/>
      <c r="U39" s="119"/>
      <c r="V39" s="119"/>
      <c r="W39" s="119"/>
      <c r="X39" s="66"/>
      <c r="Y39" s="66"/>
      <c r="Z39" s="66"/>
      <c r="AA39" s="66"/>
      <c r="AB39" s="66"/>
      <c r="AC39" s="119"/>
      <c r="AD39" s="119"/>
      <c r="AE39" s="66"/>
      <c r="AF39" s="66"/>
      <c r="AG39" s="66"/>
      <c r="AH39" s="130"/>
      <c r="AI39" s="130"/>
    </row>
    <row r="40" ht="15.75" customHeight="1">
      <c r="A40" s="66"/>
      <c r="B40" s="134"/>
      <c r="C40" s="135"/>
      <c r="D40" s="66"/>
      <c r="E40" s="136"/>
      <c r="F40" s="136"/>
      <c r="G40" s="66"/>
      <c r="H40" s="66"/>
      <c r="I40" s="66"/>
      <c r="J40" s="66"/>
      <c r="K40" s="66"/>
      <c r="L40" s="66"/>
      <c r="M40" s="66"/>
      <c r="N40" s="66"/>
      <c r="O40" s="66"/>
      <c r="P40" s="119"/>
      <c r="Q40" s="66"/>
      <c r="R40" s="119"/>
      <c r="S40" s="66"/>
      <c r="T40" s="119"/>
      <c r="U40" s="119"/>
      <c r="V40" s="119"/>
      <c r="W40" s="119"/>
      <c r="X40" s="66"/>
      <c r="Y40" s="66"/>
      <c r="Z40" s="66"/>
      <c r="AA40" s="66"/>
      <c r="AB40" s="66"/>
      <c r="AC40" s="119"/>
      <c r="AD40" s="119"/>
      <c r="AE40" s="66"/>
      <c r="AF40" s="66"/>
      <c r="AG40" s="66"/>
      <c r="AH40" s="130"/>
      <c r="AI40" s="130"/>
    </row>
    <row r="41" ht="15.75" customHeight="1">
      <c r="A41" s="66"/>
      <c r="B41" s="134"/>
      <c r="C41" s="135"/>
      <c r="D41" s="66"/>
      <c r="E41" s="136"/>
      <c r="F41" s="136"/>
      <c r="G41" s="66"/>
      <c r="H41" s="66"/>
      <c r="I41" s="66"/>
      <c r="J41" s="66"/>
      <c r="K41" s="66"/>
      <c r="L41" s="66"/>
      <c r="M41" s="66"/>
      <c r="N41" s="66"/>
      <c r="O41" s="66"/>
      <c r="P41" s="119"/>
      <c r="Q41" s="66"/>
      <c r="R41" s="119"/>
      <c r="S41" s="66"/>
      <c r="T41" s="119"/>
      <c r="U41" s="119"/>
      <c r="V41" s="119"/>
      <c r="W41" s="119"/>
      <c r="X41" s="66"/>
      <c r="Y41" s="66"/>
      <c r="Z41" s="66"/>
      <c r="AA41" s="66"/>
      <c r="AB41" s="66"/>
      <c r="AC41" s="119"/>
      <c r="AD41" s="119"/>
      <c r="AE41" s="66"/>
      <c r="AF41" s="66"/>
      <c r="AG41" s="66"/>
      <c r="AH41" s="130"/>
      <c r="AI41" s="130"/>
    </row>
    <row r="42" ht="15.75" customHeight="1">
      <c r="A42" s="66"/>
      <c r="B42" s="134"/>
      <c r="C42" s="135"/>
      <c r="D42" s="66"/>
      <c r="E42" s="136"/>
      <c r="F42" s="136"/>
      <c r="G42" s="66"/>
      <c r="H42" s="66"/>
      <c r="I42" s="66"/>
      <c r="J42" s="66"/>
      <c r="K42" s="66"/>
      <c r="L42" s="66"/>
      <c r="M42" s="66"/>
      <c r="N42" s="66"/>
      <c r="O42" s="66"/>
      <c r="P42" s="119"/>
      <c r="Q42" s="66"/>
      <c r="R42" s="119"/>
      <c r="S42" s="66"/>
      <c r="T42" s="119"/>
      <c r="U42" s="119"/>
      <c r="V42" s="119"/>
      <c r="W42" s="119"/>
      <c r="X42" s="66"/>
      <c r="Y42" s="66"/>
      <c r="Z42" s="66"/>
      <c r="AA42" s="66"/>
      <c r="AB42" s="66"/>
      <c r="AC42" s="119"/>
      <c r="AD42" s="119"/>
      <c r="AE42" s="66"/>
      <c r="AF42" s="66"/>
      <c r="AG42" s="66"/>
      <c r="AH42" s="130"/>
      <c r="AI42" s="130"/>
    </row>
    <row r="43" ht="15.75" customHeight="1">
      <c r="A43" s="66"/>
      <c r="B43" s="134"/>
      <c r="C43" s="135"/>
      <c r="D43" s="66"/>
      <c r="E43" s="136"/>
      <c r="F43" s="136"/>
      <c r="G43" s="66"/>
      <c r="H43" s="66"/>
      <c r="I43" s="66"/>
      <c r="J43" s="66"/>
      <c r="K43" s="66"/>
      <c r="L43" s="66"/>
      <c r="M43" s="66"/>
      <c r="N43" s="66"/>
      <c r="O43" s="66"/>
      <c r="P43" s="119"/>
      <c r="Q43" s="66"/>
      <c r="R43" s="119"/>
      <c r="S43" s="66"/>
      <c r="T43" s="119"/>
      <c r="U43" s="119"/>
      <c r="V43" s="119"/>
      <c r="W43" s="119"/>
      <c r="X43" s="66"/>
      <c r="Y43" s="66"/>
      <c r="Z43" s="66"/>
      <c r="AA43" s="66"/>
      <c r="AB43" s="66"/>
      <c r="AC43" s="119"/>
      <c r="AD43" s="119"/>
      <c r="AE43" s="66"/>
      <c r="AF43" s="66"/>
      <c r="AG43" s="66"/>
      <c r="AH43" s="130"/>
      <c r="AI43" s="130"/>
    </row>
    <row r="44" ht="15.75" customHeight="1">
      <c r="A44" s="66"/>
      <c r="B44" s="134"/>
      <c r="C44" s="135"/>
      <c r="D44" s="66"/>
      <c r="E44" s="136"/>
      <c r="F44" s="136"/>
      <c r="G44" s="66"/>
      <c r="H44" s="66"/>
      <c r="I44" s="66"/>
      <c r="J44" s="66"/>
      <c r="K44" s="66"/>
      <c r="L44" s="66"/>
      <c r="M44" s="66"/>
      <c r="N44" s="66"/>
      <c r="O44" s="66"/>
      <c r="P44" s="119"/>
      <c r="Q44" s="66"/>
      <c r="R44" s="119"/>
      <c r="S44" s="66"/>
      <c r="T44" s="119"/>
      <c r="U44" s="119"/>
      <c r="V44" s="119"/>
      <c r="W44" s="119"/>
      <c r="X44" s="66"/>
      <c r="Y44" s="66"/>
      <c r="Z44" s="66"/>
      <c r="AA44" s="66"/>
      <c r="AB44" s="66"/>
      <c r="AC44" s="119"/>
      <c r="AD44" s="119"/>
      <c r="AE44" s="66"/>
      <c r="AF44" s="66"/>
      <c r="AG44" s="66"/>
      <c r="AH44" s="130"/>
      <c r="AI44" s="130"/>
    </row>
    <row r="45" ht="15.75" customHeight="1">
      <c r="A45" s="66"/>
      <c r="B45" s="134"/>
      <c r="C45" s="135"/>
      <c r="D45" s="66"/>
      <c r="E45" s="136"/>
      <c r="F45" s="136"/>
      <c r="G45" s="66"/>
      <c r="H45" s="66"/>
      <c r="I45" s="66"/>
      <c r="J45" s="66"/>
      <c r="K45" s="66"/>
      <c r="L45" s="66"/>
      <c r="M45" s="66"/>
      <c r="N45" s="66"/>
      <c r="O45" s="66"/>
      <c r="P45" s="119"/>
      <c r="Q45" s="66"/>
      <c r="R45" s="119"/>
      <c r="S45" s="66"/>
      <c r="T45" s="119"/>
      <c r="U45" s="119"/>
      <c r="V45" s="119"/>
      <c r="W45" s="119"/>
      <c r="X45" s="66"/>
      <c r="Y45" s="66"/>
      <c r="Z45" s="66"/>
      <c r="AA45" s="66"/>
      <c r="AB45" s="66"/>
      <c r="AC45" s="119"/>
      <c r="AD45" s="119"/>
      <c r="AE45" s="66"/>
      <c r="AF45" s="66"/>
      <c r="AG45" s="66"/>
      <c r="AH45" s="130"/>
      <c r="AI45" s="130"/>
    </row>
    <row r="46" ht="15.75" customHeight="1">
      <c r="A46" s="66"/>
      <c r="B46" s="134"/>
      <c r="C46" s="135"/>
      <c r="D46" s="66"/>
      <c r="E46" s="136"/>
      <c r="F46" s="136"/>
      <c r="G46" s="66"/>
      <c r="H46" s="66"/>
      <c r="I46" s="66"/>
      <c r="J46" s="66"/>
      <c r="K46" s="66"/>
      <c r="L46" s="66"/>
      <c r="M46" s="66"/>
      <c r="N46" s="66"/>
      <c r="O46" s="66"/>
      <c r="P46" s="119"/>
      <c r="Q46" s="66"/>
      <c r="R46" s="119"/>
      <c r="S46" s="66"/>
      <c r="T46" s="119"/>
      <c r="U46" s="119"/>
      <c r="V46" s="119"/>
      <c r="W46" s="119"/>
      <c r="X46" s="66"/>
      <c r="Y46" s="66"/>
      <c r="Z46" s="66"/>
      <c r="AA46" s="66"/>
      <c r="AB46" s="66"/>
      <c r="AC46" s="119"/>
      <c r="AD46" s="119"/>
      <c r="AE46" s="66"/>
      <c r="AF46" s="66"/>
      <c r="AG46" s="66"/>
      <c r="AH46" s="130"/>
      <c r="AI46" s="130"/>
    </row>
    <row r="47" ht="15.75" customHeight="1">
      <c r="A47" s="66"/>
      <c r="B47" s="134"/>
      <c r="C47" s="135"/>
      <c r="D47" s="66"/>
      <c r="E47" s="136"/>
      <c r="F47" s="136"/>
      <c r="G47" s="66"/>
      <c r="H47" s="66"/>
      <c r="I47" s="66"/>
      <c r="J47" s="66"/>
      <c r="K47" s="66"/>
      <c r="L47" s="66"/>
      <c r="M47" s="66"/>
      <c r="N47" s="66"/>
      <c r="O47" s="66"/>
      <c r="P47" s="119"/>
      <c r="Q47" s="66"/>
      <c r="R47" s="119"/>
      <c r="S47" s="66"/>
      <c r="T47" s="119"/>
      <c r="U47" s="119"/>
      <c r="V47" s="119"/>
      <c r="W47" s="119"/>
      <c r="X47" s="66"/>
      <c r="Y47" s="66"/>
      <c r="Z47" s="66"/>
      <c r="AA47" s="66"/>
      <c r="AB47" s="66"/>
      <c r="AC47" s="119"/>
      <c r="AD47" s="119"/>
      <c r="AE47" s="66"/>
      <c r="AF47" s="66"/>
      <c r="AG47" s="66"/>
      <c r="AH47" s="130"/>
      <c r="AI47" s="130"/>
    </row>
    <row r="48" ht="15.75" customHeight="1">
      <c r="A48" s="66"/>
      <c r="B48" s="134"/>
      <c r="C48" s="135"/>
      <c r="D48" s="66"/>
      <c r="E48" s="136"/>
      <c r="F48" s="136"/>
      <c r="G48" s="66"/>
      <c r="H48" s="66"/>
      <c r="I48" s="66"/>
      <c r="J48" s="66"/>
      <c r="K48" s="66"/>
      <c r="L48" s="66"/>
      <c r="M48" s="66"/>
      <c r="N48" s="66"/>
      <c r="O48" s="66"/>
      <c r="P48" s="119"/>
      <c r="Q48" s="66"/>
      <c r="R48" s="119"/>
      <c r="S48" s="66"/>
      <c r="T48" s="119"/>
      <c r="U48" s="119"/>
      <c r="V48" s="119"/>
      <c r="W48" s="119"/>
      <c r="X48" s="66"/>
      <c r="Y48" s="66"/>
      <c r="Z48" s="66"/>
      <c r="AA48" s="66"/>
      <c r="AB48" s="66"/>
      <c r="AC48" s="119"/>
      <c r="AD48" s="119"/>
      <c r="AE48" s="66"/>
      <c r="AF48" s="66"/>
      <c r="AG48" s="66"/>
      <c r="AH48" s="130"/>
      <c r="AI48" s="130"/>
    </row>
    <row r="49" ht="15.75" customHeight="1">
      <c r="A49" s="66"/>
      <c r="B49" s="134"/>
      <c r="C49" s="135"/>
      <c r="D49" s="66"/>
      <c r="E49" s="136"/>
      <c r="F49" s="136"/>
      <c r="G49" s="66"/>
      <c r="H49" s="66"/>
      <c r="I49" s="66"/>
      <c r="J49" s="66"/>
      <c r="K49" s="66"/>
      <c r="L49" s="66"/>
      <c r="M49" s="66"/>
      <c r="N49" s="66"/>
      <c r="O49" s="66"/>
      <c r="P49" s="119"/>
      <c r="Q49" s="66"/>
      <c r="R49" s="119"/>
      <c r="S49" s="66"/>
      <c r="T49" s="119"/>
      <c r="U49" s="119"/>
      <c r="V49" s="119"/>
      <c r="W49" s="119"/>
      <c r="X49" s="66"/>
      <c r="Y49" s="66"/>
      <c r="Z49" s="66"/>
      <c r="AA49" s="66"/>
      <c r="AB49" s="66"/>
      <c r="AC49" s="119"/>
      <c r="AD49" s="119"/>
      <c r="AE49" s="66"/>
      <c r="AF49" s="66"/>
      <c r="AG49" s="66"/>
      <c r="AH49" s="130"/>
      <c r="AI49" s="130"/>
    </row>
    <row r="50" ht="15.75" customHeight="1">
      <c r="A50" s="66"/>
      <c r="B50" s="134"/>
      <c r="C50" s="135"/>
      <c r="D50" s="66"/>
      <c r="E50" s="136"/>
      <c r="F50" s="136"/>
      <c r="G50" s="66"/>
      <c r="H50" s="66"/>
      <c r="I50" s="66"/>
      <c r="J50" s="66"/>
      <c r="K50" s="66"/>
      <c r="L50" s="66"/>
      <c r="M50" s="66"/>
      <c r="N50" s="66"/>
      <c r="O50" s="66"/>
      <c r="P50" s="119"/>
      <c r="Q50" s="66"/>
      <c r="R50" s="119"/>
      <c r="S50" s="66"/>
      <c r="T50" s="119"/>
      <c r="U50" s="119"/>
      <c r="V50" s="119"/>
      <c r="W50" s="119"/>
      <c r="X50" s="66"/>
      <c r="Y50" s="66"/>
      <c r="Z50" s="66"/>
      <c r="AA50" s="66"/>
      <c r="AB50" s="66"/>
      <c r="AC50" s="119"/>
      <c r="AD50" s="119"/>
      <c r="AE50" s="66"/>
      <c r="AF50" s="66"/>
      <c r="AG50" s="66"/>
      <c r="AH50" s="130"/>
      <c r="AI50" s="130"/>
    </row>
    <row r="51" ht="15.75" customHeight="1">
      <c r="A51" s="66"/>
      <c r="B51" s="134"/>
      <c r="C51" s="135"/>
      <c r="D51" s="66"/>
      <c r="E51" s="136"/>
      <c r="F51" s="136"/>
      <c r="G51" s="66"/>
      <c r="H51" s="66"/>
      <c r="I51" s="66"/>
      <c r="J51" s="66"/>
      <c r="K51" s="66"/>
      <c r="L51" s="66"/>
      <c r="M51" s="66"/>
      <c r="N51" s="66"/>
      <c r="O51" s="66"/>
      <c r="P51" s="119"/>
      <c r="Q51" s="66"/>
      <c r="R51" s="119"/>
      <c r="S51" s="66"/>
      <c r="T51" s="119"/>
      <c r="U51" s="119"/>
      <c r="V51" s="119"/>
      <c r="W51" s="119"/>
      <c r="X51" s="66"/>
      <c r="Y51" s="66"/>
      <c r="Z51" s="66"/>
      <c r="AA51" s="66"/>
      <c r="AB51" s="66"/>
      <c r="AC51" s="119"/>
      <c r="AD51" s="119"/>
      <c r="AE51" s="66"/>
      <c r="AF51" s="66"/>
      <c r="AG51" s="66"/>
      <c r="AH51" s="130"/>
      <c r="AI51" s="130"/>
    </row>
    <row r="52" ht="15.75" customHeight="1">
      <c r="A52" s="66"/>
      <c r="B52" s="134"/>
      <c r="C52" s="135"/>
      <c r="D52" s="66"/>
      <c r="E52" s="136"/>
      <c r="F52" s="136"/>
      <c r="G52" s="66"/>
      <c r="H52" s="66"/>
      <c r="I52" s="66"/>
      <c r="J52" s="66"/>
      <c r="K52" s="66"/>
      <c r="L52" s="66"/>
      <c r="M52" s="66"/>
      <c r="N52" s="66"/>
      <c r="O52" s="66"/>
      <c r="P52" s="119"/>
      <c r="Q52" s="66"/>
      <c r="R52" s="119"/>
      <c r="S52" s="66"/>
      <c r="T52" s="119"/>
      <c r="U52" s="119"/>
      <c r="V52" s="119"/>
      <c r="W52" s="119"/>
      <c r="X52" s="66"/>
      <c r="Y52" s="66"/>
      <c r="Z52" s="66"/>
      <c r="AA52" s="66"/>
      <c r="AB52" s="66"/>
      <c r="AC52" s="119"/>
      <c r="AD52" s="119"/>
      <c r="AE52" s="66"/>
      <c r="AF52" s="66"/>
      <c r="AG52" s="66"/>
      <c r="AH52" s="130"/>
      <c r="AI52" s="130"/>
    </row>
    <row r="53" ht="15.75" customHeight="1">
      <c r="A53" s="66"/>
      <c r="B53" s="134"/>
      <c r="C53" s="135"/>
      <c r="D53" s="66"/>
      <c r="E53" s="136"/>
      <c r="F53" s="136"/>
      <c r="G53" s="66"/>
      <c r="H53" s="66"/>
      <c r="I53" s="66"/>
      <c r="J53" s="66"/>
      <c r="K53" s="66"/>
      <c r="L53" s="66"/>
      <c r="M53" s="66"/>
      <c r="N53" s="66"/>
      <c r="O53" s="66"/>
      <c r="P53" s="119"/>
      <c r="Q53" s="66"/>
      <c r="R53" s="119"/>
      <c r="S53" s="66"/>
      <c r="T53" s="119"/>
      <c r="U53" s="119"/>
      <c r="V53" s="119"/>
      <c r="W53" s="119"/>
      <c r="X53" s="66"/>
      <c r="Y53" s="66"/>
      <c r="Z53" s="66"/>
      <c r="AA53" s="66"/>
      <c r="AB53" s="66"/>
      <c r="AC53" s="119"/>
      <c r="AD53" s="119"/>
      <c r="AE53" s="66"/>
      <c r="AF53" s="66"/>
      <c r="AG53" s="66"/>
      <c r="AH53" s="130"/>
      <c r="AI53" s="130"/>
    </row>
    <row r="54" ht="15.75" customHeight="1">
      <c r="A54" s="66"/>
      <c r="B54" s="134"/>
      <c r="C54" s="135"/>
      <c r="D54" s="66"/>
      <c r="E54" s="136"/>
      <c r="F54" s="136"/>
      <c r="G54" s="66"/>
      <c r="H54" s="66"/>
      <c r="I54" s="66"/>
      <c r="J54" s="66"/>
      <c r="K54" s="66"/>
      <c r="L54" s="66"/>
      <c r="M54" s="66"/>
      <c r="N54" s="66"/>
      <c r="O54" s="66"/>
      <c r="P54" s="119"/>
      <c r="Q54" s="66"/>
      <c r="R54" s="119"/>
      <c r="S54" s="66"/>
      <c r="T54" s="119"/>
      <c r="U54" s="119"/>
      <c r="V54" s="119"/>
      <c r="W54" s="119"/>
      <c r="X54" s="66"/>
      <c r="Y54" s="66"/>
      <c r="Z54" s="66"/>
      <c r="AA54" s="66"/>
      <c r="AB54" s="66"/>
      <c r="AC54" s="119"/>
      <c r="AD54" s="119"/>
      <c r="AE54" s="66"/>
      <c r="AF54" s="66"/>
      <c r="AG54" s="66"/>
      <c r="AH54" s="130"/>
      <c r="AI54" s="130"/>
    </row>
    <row r="55" ht="15.75" customHeight="1">
      <c r="A55" s="66"/>
      <c r="B55" s="134"/>
      <c r="C55" s="135"/>
      <c r="D55" s="66"/>
      <c r="E55" s="136"/>
      <c r="F55" s="136"/>
      <c r="G55" s="66"/>
      <c r="H55" s="66"/>
      <c r="I55" s="66"/>
      <c r="J55" s="66"/>
      <c r="K55" s="66"/>
      <c r="L55" s="66"/>
      <c r="M55" s="66"/>
      <c r="N55" s="66"/>
      <c r="O55" s="66"/>
      <c r="P55" s="119"/>
      <c r="Q55" s="66"/>
      <c r="R55" s="119"/>
      <c r="S55" s="66"/>
      <c r="T55" s="119"/>
      <c r="U55" s="119"/>
      <c r="V55" s="119"/>
      <c r="W55" s="119"/>
      <c r="X55" s="66"/>
      <c r="Y55" s="66"/>
      <c r="Z55" s="66"/>
      <c r="AA55" s="66"/>
      <c r="AB55" s="66"/>
      <c r="AC55" s="119"/>
      <c r="AD55" s="119"/>
      <c r="AE55" s="66"/>
      <c r="AF55" s="66"/>
      <c r="AG55" s="66"/>
      <c r="AH55" s="130"/>
      <c r="AI55" s="130"/>
    </row>
    <row r="56" ht="15.75" customHeight="1">
      <c r="A56" s="66"/>
      <c r="B56" s="134"/>
      <c r="C56" s="135"/>
      <c r="D56" s="66"/>
      <c r="E56" s="136"/>
      <c r="F56" s="136"/>
      <c r="G56" s="66"/>
      <c r="H56" s="66"/>
      <c r="I56" s="66"/>
      <c r="J56" s="66"/>
      <c r="K56" s="66"/>
      <c r="L56" s="66"/>
      <c r="M56" s="66"/>
      <c r="N56" s="66"/>
      <c r="O56" s="66"/>
      <c r="P56" s="119"/>
      <c r="Q56" s="66"/>
      <c r="R56" s="119"/>
      <c r="S56" s="66"/>
      <c r="T56" s="119"/>
      <c r="U56" s="119"/>
      <c r="V56" s="119"/>
      <c r="W56" s="119"/>
      <c r="X56" s="66"/>
      <c r="Y56" s="66"/>
      <c r="Z56" s="66"/>
      <c r="AA56" s="66"/>
      <c r="AB56" s="66"/>
      <c r="AC56" s="119"/>
      <c r="AD56" s="119"/>
      <c r="AE56" s="66"/>
      <c r="AF56" s="66"/>
      <c r="AG56" s="66"/>
      <c r="AH56" s="130"/>
      <c r="AI56" s="130"/>
    </row>
    <row r="57" ht="15.75" customHeight="1">
      <c r="A57" s="66"/>
      <c r="B57" s="134"/>
      <c r="C57" s="135"/>
      <c r="D57" s="66"/>
      <c r="E57" s="136"/>
      <c r="F57" s="136"/>
      <c r="G57" s="66"/>
      <c r="H57" s="66"/>
      <c r="I57" s="66"/>
      <c r="J57" s="66"/>
      <c r="K57" s="66"/>
      <c r="L57" s="66"/>
      <c r="M57" s="66"/>
      <c r="N57" s="66"/>
      <c r="O57" s="66"/>
      <c r="P57" s="119"/>
      <c r="Q57" s="66"/>
      <c r="R57" s="119"/>
      <c r="S57" s="66"/>
      <c r="T57" s="119"/>
      <c r="U57" s="119"/>
      <c r="V57" s="119"/>
      <c r="W57" s="119"/>
      <c r="X57" s="66"/>
      <c r="Y57" s="66"/>
      <c r="Z57" s="66"/>
      <c r="AA57" s="66"/>
      <c r="AB57" s="66"/>
      <c r="AC57" s="119"/>
      <c r="AD57" s="119"/>
      <c r="AE57" s="66"/>
      <c r="AF57" s="66"/>
      <c r="AG57" s="66"/>
      <c r="AH57" s="130"/>
      <c r="AI57" s="130"/>
    </row>
    <row r="58" ht="15.75" customHeight="1">
      <c r="A58" s="66"/>
      <c r="B58" s="134"/>
      <c r="C58" s="135"/>
      <c r="D58" s="66"/>
      <c r="E58" s="136"/>
      <c r="F58" s="136"/>
      <c r="G58" s="66"/>
      <c r="H58" s="66"/>
      <c r="I58" s="66"/>
      <c r="J58" s="66"/>
      <c r="K58" s="66"/>
      <c r="L58" s="66"/>
      <c r="M58" s="66"/>
      <c r="N58" s="66"/>
      <c r="O58" s="66"/>
      <c r="P58" s="119"/>
      <c r="Q58" s="66"/>
      <c r="R58" s="119"/>
      <c r="S58" s="66"/>
      <c r="T58" s="119"/>
      <c r="U58" s="119"/>
      <c r="V58" s="119"/>
      <c r="W58" s="119"/>
      <c r="X58" s="66"/>
      <c r="Y58" s="66"/>
      <c r="Z58" s="66"/>
      <c r="AA58" s="66"/>
      <c r="AB58" s="66"/>
      <c r="AC58" s="119"/>
      <c r="AD58" s="119"/>
      <c r="AE58" s="66"/>
      <c r="AF58" s="66"/>
      <c r="AG58" s="66"/>
      <c r="AH58" s="130"/>
      <c r="AI58" s="130"/>
    </row>
    <row r="59" ht="15.75" customHeight="1">
      <c r="A59" s="66"/>
      <c r="B59" s="134"/>
      <c r="C59" s="135"/>
      <c r="D59" s="66"/>
      <c r="E59" s="136"/>
      <c r="F59" s="136"/>
      <c r="G59" s="66"/>
      <c r="H59" s="66"/>
      <c r="I59" s="66"/>
      <c r="J59" s="66"/>
      <c r="K59" s="66"/>
      <c r="L59" s="66"/>
      <c r="M59" s="66"/>
      <c r="N59" s="66"/>
      <c r="O59" s="66"/>
      <c r="P59" s="119"/>
      <c r="Q59" s="66"/>
      <c r="R59" s="119"/>
      <c r="S59" s="66"/>
      <c r="T59" s="119"/>
      <c r="U59" s="119"/>
      <c r="V59" s="119"/>
      <c r="W59" s="119"/>
      <c r="X59" s="66"/>
      <c r="Y59" s="66"/>
      <c r="Z59" s="66"/>
      <c r="AA59" s="66"/>
      <c r="AB59" s="66"/>
      <c r="AC59" s="119"/>
      <c r="AD59" s="119"/>
      <c r="AE59" s="66"/>
      <c r="AF59" s="66"/>
      <c r="AG59" s="66"/>
      <c r="AH59" s="130"/>
      <c r="AI59" s="130"/>
    </row>
    <row r="60" ht="15.75" customHeight="1">
      <c r="A60" s="66"/>
      <c r="B60" s="134"/>
      <c r="C60" s="135"/>
      <c r="D60" s="66"/>
      <c r="E60" s="136"/>
      <c r="F60" s="136"/>
      <c r="G60" s="66"/>
      <c r="H60" s="66"/>
      <c r="I60" s="66"/>
      <c r="J60" s="66"/>
      <c r="K60" s="66"/>
      <c r="L60" s="66"/>
      <c r="M60" s="66"/>
      <c r="N60" s="66"/>
      <c r="O60" s="66"/>
      <c r="P60" s="119"/>
      <c r="Q60" s="66"/>
      <c r="R60" s="119"/>
      <c r="S60" s="66"/>
      <c r="T60" s="119"/>
      <c r="U60" s="119"/>
      <c r="V60" s="119"/>
      <c r="W60" s="119"/>
      <c r="X60" s="66"/>
      <c r="Y60" s="66"/>
      <c r="Z60" s="66"/>
      <c r="AA60" s="66"/>
      <c r="AB60" s="66"/>
      <c r="AC60" s="119"/>
      <c r="AD60" s="119"/>
      <c r="AE60" s="66"/>
      <c r="AF60" s="66"/>
      <c r="AG60" s="66"/>
      <c r="AH60" s="130"/>
      <c r="AI60" s="130"/>
    </row>
    <row r="61" ht="15.75" customHeight="1">
      <c r="A61" s="66"/>
      <c r="B61" s="134"/>
      <c r="C61" s="135"/>
      <c r="D61" s="66"/>
      <c r="E61" s="136"/>
      <c r="F61" s="136"/>
      <c r="G61" s="66"/>
      <c r="H61" s="66"/>
      <c r="I61" s="66"/>
      <c r="J61" s="66"/>
      <c r="K61" s="66"/>
      <c r="L61" s="66"/>
      <c r="M61" s="66"/>
      <c r="N61" s="66"/>
      <c r="O61" s="66"/>
      <c r="P61" s="119"/>
      <c r="Q61" s="66"/>
      <c r="R61" s="119"/>
      <c r="S61" s="66"/>
      <c r="T61" s="119"/>
      <c r="U61" s="119"/>
      <c r="V61" s="119"/>
      <c r="W61" s="119"/>
      <c r="X61" s="66"/>
      <c r="Y61" s="66"/>
      <c r="Z61" s="66"/>
      <c r="AA61" s="66"/>
      <c r="AB61" s="66"/>
      <c r="AC61" s="119"/>
      <c r="AD61" s="119"/>
      <c r="AE61" s="66"/>
      <c r="AF61" s="66"/>
      <c r="AG61" s="66"/>
      <c r="AH61" s="130"/>
      <c r="AI61" s="130"/>
    </row>
    <row r="62" ht="15.75" customHeight="1">
      <c r="A62" s="66"/>
      <c r="B62" s="134"/>
      <c r="C62" s="135"/>
      <c r="D62" s="66"/>
      <c r="E62" s="136"/>
      <c r="F62" s="136"/>
      <c r="G62" s="66"/>
      <c r="H62" s="66"/>
      <c r="I62" s="66"/>
      <c r="J62" s="66"/>
      <c r="K62" s="66"/>
      <c r="L62" s="66"/>
      <c r="M62" s="66"/>
      <c r="N62" s="66"/>
      <c r="O62" s="66"/>
      <c r="P62" s="119"/>
      <c r="Q62" s="66"/>
      <c r="R62" s="119"/>
      <c r="S62" s="66"/>
      <c r="T62" s="119"/>
      <c r="U62" s="119"/>
      <c r="V62" s="119"/>
      <c r="W62" s="119"/>
      <c r="X62" s="66"/>
      <c r="Y62" s="66"/>
      <c r="Z62" s="66"/>
      <c r="AA62" s="66"/>
      <c r="AB62" s="66"/>
      <c r="AC62" s="119"/>
      <c r="AD62" s="119"/>
      <c r="AE62" s="66"/>
      <c r="AF62" s="66"/>
      <c r="AG62" s="66"/>
      <c r="AH62" s="130"/>
      <c r="AI62" s="130"/>
    </row>
    <row r="63" ht="15.75" customHeight="1">
      <c r="A63" s="66"/>
      <c r="B63" s="134"/>
      <c r="C63" s="135"/>
      <c r="D63" s="66"/>
      <c r="E63" s="136"/>
      <c r="F63" s="136"/>
      <c r="G63" s="66"/>
      <c r="H63" s="66"/>
      <c r="I63" s="66"/>
      <c r="J63" s="66"/>
      <c r="K63" s="66"/>
      <c r="L63" s="66"/>
      <c r="M63" s="66"/>
      <c r="N63" s="66"/>
      <c r="O63" s="66"/>
      <c r="P63" s="119"/>
      <c r="Q63" s="66"/>
      <c r="R63" s="119"/>
      <c r="S63" s="66"/>
      <c r="T63" s="119"/>
      <c r="U63" s="119"/>
      <c r="V63" s="119"/>
      <c r="W63" s="119"/>
      <c r="X63" s="66"/>
      <c r="Y63" s="66"/>
      <c r="Z63" s="66"/>
      <c r="AA63" s="66"/>
      <c r="AB63" s="66"/>
      <c r="AC63" s="119"/>
      <c r="AD63" s="119"/>
      <c r="AE63" s="66"/>
      <c r="AF63" s="66"/>
      <c r="AG63" s="66"/>
      <c r="AH63" s="130"/>
      <c r="AI63" s="130"/>
    </row>
    <row r="64" ht="15.75" customHeight="1">
      <c r="A64" s="66"/>
      <c r="B64" s="134"/>
      <c r="C64" s="135"/>
      <c r="D64" s="66"/>
      <c r="E64" s="136"/>
      <c r="F64" s="136"/>
      <c r="G64" s="66"/>
      <c r="H64" s="66"/>
      <c r="I64" s="66"/>
      <c r="J64" s="66"/>
      <c r="K64" s="66"/>
      <c r="L64" s="66"/>
      <c r="M64" s="66"/>
      <c r="N64" s="66"/>
      <c r="O64" s="66"/>
      <c r="P64" s="119"/>
      <c r="Q64" s="66"/>
      <c r="R64" s="119"/>
      <c r="S64" s="66"/>
      <c r="T64" s="119"/>
      <c r="U64" s="119"/>
      <c r="V64" s="119"/>
      <c r="W64" s="119"/>
      <c r="X64" s="66"/>
      <c r="Y64" s="66"/>
      <c r="Z64" s="66"/>
      <c r="AA64" s="66"/>
      <c r="AB64" s="66"/>
      <c r="AC64" s="119"/>
      <c r="AD64" s="119"/>
      <c r="AE64" s="66"/>
      <c r="AF64" s="66"/>
      <c r="AG64" s="66"/>
      <c r="AH64" s="130"/>
      <c r="AI64" s="130"/>
    </row>
    <row r="65" ht="15.75" customHeight="1">
      <c r="A65" s="66"/>
      <c r="B65" s="134"/>
      <c r="C65" s="135"/>
      <c r="D65" s="66"/>
      <c r="E65" s="136"/>
      <c r="F65" s="136"/>
      <c r="G65" s="66"/>
      <c r="H65" s="66"/>
      <c r="I65" s="66"/>
      <c r="J65" s="66"/>
      <c r="K65" s="66"/>
      <c r="L65" s="66"/>
      <c r="M65" s="66"/>
      <c r="N65" s="66"/>
      <c r="O65" s="66"/>
      <c r="P65" s="119"/>
      <c r="Q65" s="66"/>
      <c r="R65" s="119"/>
      <c r="S65" s="66"/>
      <c r="T65" s="119"/>
      <c r="U65" s="119"/>
      <c r="V65" s="119"/>
      <c r="W65" s="119"/>
      <c r="X65" s="66"/>
      <c r="Y65" s="66"/>
      <c r="Z65" s="66"/>
      <c r="AA65" s="66"/>
      <c r="AB65" s="66"/>
      <c r="AC65" s="119"/>
      <c r="AD65" s="119"/>
      <c r="AE65" s="66"/>
      <c r="AF65" s="66"/>
      <c r="AG65" s="66"/>
      <c r="AH65" s="130"/>
      <c r="AI65" s="130"/>
    </row>
    <row r="66" ht="15.75" customHeight="1">
      <c r="A66" s="66"/>
      <c r="B66" s="134"/>
      <c r="C66" s="135"/>
      <c r="D66" s="66"/>
      <c r="E66" s="136"/>
      <c r="F66" s="136"/>
      <c r="G66" s="66"/>
      <c r="H66" s="66"/>
      <c r="I66" s="66"/>
      <c r="J66" s="66"/>
      <c r="K66" s="66"/>
      <c r="L66" s="66"/>
      <c r="M66" s="66"/>
      <c r="N66" s="66"/>
      <c r="O66" s="66"/>
      <c r="P66" s="119"/>
      <c r="Q66" s="66"/>
      <c r="R66" s="119"/>
      <c r="S66" s="66"/>
      <c r="T66" s="119"/>
      <c r="U66" s="119"/>
      <c r="V66" s="119"/>
      <c r="W66" s="119"/>
      <c r="X66" s="66"/>
      <c r="Y66" s="66"/>
      <c r="Z66" s="66"/>
      <c r="AA66" s="66"/>
      <c r="AB66" s="66"/>
      <c r="AC66" s="119"/>
      <c r="AD66" s="119"/>
      <c r="AE66" s="66"/>
      <c r="AF66" s="66"/>
      <c r="AG66" s="66"/>
      <c r="AH66" s="130"/>
      <c r="AI66" s="130"/>
    </row>
    <row r="67" ht="15.75" customHeight="1">
      <c r="A67" s="66"/>
      <c r="B67" s="134"/>
      <c r="C67" s="135"/>
      <c r="D67" s="66"/>
      <c r="E67" s="136"/>
      <c r="F67" s="136"/>
      <c r="G67" s="66"/>
      <c r="H67" s="66"/>
      <c r="I67" s="66"/>
      <c r="J67" s="66"/>
      <c r="K67" s="66"/>
      <c r="L67" s="66"/>
      <c r="M67" s="66"/>
      <c r="N67" s="66"/>
      <c r="O67" s="66"/>
      <c r="P67" s="119"/>
      <c r="Q67" s="66"/>
      <c r="R67" s="119"/>
      <c r="S67" s="66"/>
      <c r="T67" s="119"/>
      <c r="U67" s="119"/>
      <c r="V67" s="119"/>
      <c r="W67" s="119"/>
      <c r="X67" s="66"/>
      <c r="Y67" s="66"/>
      <c r="Z67" s="66"/>
      <c r="AA67" s="66"/>
      <c r="AB67" s="66"/>
      <c r="AC67" s="119"/>
      <c r="AD67" s="119"/>
      <c r="AE67" s="66"/>
      <c r="AF67" s="66"/>
      <c r="AG67" s="66"/>
      <c r="AH67" s="130"/>
      <c r="AI67" s="130"/>
    </row>
    <row r="68" ht="15.75" customHeight="1">
      <c r="A68" s="66"/>
      <c r="B68" s="134"/>
      <c r="C68" s="135"/>
      <c r="D68" s="66"/>
      <c r="E68" s="136"/>
      <c r="F68" s="136"/>
      <c r="G68" s="66"/>
      <c r="H68" s="66"/>
      <c r="I68" s="66"/>
      <c r="J68" s="66"/>
      <c r="K68" s="66"/>
      <c r="L68" s="66"/>
      <c r="M68" s="66"/>
      <c r="N68" s="66"/>
      <c r="O68" s="66"/>
      <c r="P68" s="119"/>
      <c r="Q68" s="66"/>
      <c r="R68" s="119"/>
      <c r="S68" s="66"/>
      <c r="T68" s="119"/>
      <c r="U68" s="119"/>
      <c r="V68" s="119"/>
      <c r="W68" s="119"/>
      <c r="X68" s="66"/>
      <c r="Y68" s="66"/>
      <c r="Z68" s="66"/>
      <c r="AA68" s="66"/>
      <c r="AB68" s="66"/>
      <c r="AC68" s="119"/>
      <c r="AD68" s="119"/>
      <c r="AE68" s="66"/>
      <c r="AF68" s="66"/>
      <c r="AG68" s="66"/>
      <c r="AH68" s="130"/>
      <c r="AI68" s="130"/>
    </row>
    <row r="69" ht="15.75" customHeight="1">
      <c r="A69" s="66"/>
      <c r="B69" s="134"/>
      <c r="C69" s="135"/>
      <c r="D69" s="66"/>
      <c r="E69" s="136"/>
      <c r="F69" s="136"/>
      <c r="G69" s="66"/>
      <c r="H69" s="66"/>
      <c r="I69" s="66"/>
      <c r="J69" s="66"/>
      <c r="K69" s="66"/>
      <c r="L69" s="66"/>
      <c r="M69" s="66"/>
      <c r="N69" s="66"/>
      <c r="O69" s="66"/>
      <c r="P69" s="119"/>
      <c r="Q69" s="66"/>
      <c r="R69" s="119"/>
      <c r="S69" s="66"/>
      <c r="T69" s="119"/>
      <c r="U69" s="119"/>
      <c r="V69" s="119"/>
      <c r="W69" s="119"/>
      <c r="X69" s="66"/>
      <c r="Y69" s="66"/>
      <c r="Z69" s="66"/>
      <c r="AA69" s="66"/>
      <c r="AB69" s="66"/>
      <c r="AC69" s="119"/>
      <c r="AD69" s="119"/>
      <c r="AE69" s="66"/>
      <c r="AF69" s="66"/>
      <c r="AG69" s="66"/>
      <c r="AH69" s="130"/>
      <c r="AI69" s="130"/>
    </row>
    <row r="70" ht="15.75" customHeight="1">
      <c r="A70" s="66"/>
      <c r="B70" s="134"/>
      <c r="C70" s="135"/>
      <c r="D70" s="66"/>
      <c r="E70" s="136"/>
      <c r="F70" s="136"/>
      <c r="G70" s="66"/>
      <c r="H70" s="66"/>
      <c r="I70" s="66"/>
      <c r="J70" s="66"/>
      <c r="K70" s="66"/>
      <c r="L70" s="66"/>
      <c r="M70" s="66"/>
      <c r="N70" s="66"/>
      <c r="O70" s="66"/>
      <c r="P70" s="119"/>
      <c r="Q70" s="66"/>
      <c r="R70" s="119"/>
      <c r="S70" s="66"/>
      <c r="T70" s="119"/>
      <c r="U70" s="119"/>
      <c r="V70" s="119"/>
      <c r="W70" s="119"/>
      <c r="X70" s="66"/>
      <c r="Y70" s="66"/>
      <c r="Z70" s="66"/>
      <c r="AA70" s="66"/>
      <c r="AB70" s="66"/>
      <c r="AC70" s="119"/>
      <c r="AD70" s="119"/>
      <c r="AE70" s="66"/>
      <c r="AF70" s="66"/>
      <c r="AG70" s="66"/>
      <c r="AH70" s="130"/>
      <c r="AI70" s="130"/>
    </row>
    <row r="71" ht="15.75" customHeight="1">
      <c r="A71" s="66"/>
      <c r="B71" s="134"/>
      <c r="C71" s="135"/>
      <c r="D71" s="66"/>
      <c r="E71" s="136"/>
      <c r="F71" s="136"/>
      <c r="G71" s="66"/>
      <c r="H71" s="66"/>
      <c r="I71" s="66"/>
      <c r="J71" s="66"/>
      <c r="K71" s="66"/>
      <c r="L71" s="66"/>
      <c r="M71" s="66"/>
      <c r="N71" s="66"/>
      <c r="O71" s="66"/>
      <c r="P71" s="119"/>
      <c r="Q71" s="66"/>
      <c r="R71" s="119"/>
      <c r="S71" s="66"/>
      <c r="T71" s="119"/>
      <c r="U71" s="119"/>
      <c r="V71" s="119"/>
      <c r="W71" s="119"/>
      <c r="X71" s="66"/>
      <c r="Y71" s="66"/>
      <c r="Z71" s="66"/>
      <c r="AA71" s="66"/>
      <c r="AB71" s="66"/>
      <c r="AC71" s="119"/>
      <c r="AD71" s="119"/>
      <c r="AE71" s="66"/>
      <c r="AF71" s="66"/>
      <c r="AG71" s="66"/>
      <c r="AH71" s="130"/>
      <c r="AI71" s="130"/>
    </row>
    <row r="72" ht="15.75" customHeight="1">
      <c r="A72" s="66"/>
      <c r="B72" s="134"/>
      <c r="C72" s="135"/>
      <c r="D72" s="66"/>
      <c r="E72" s="136"/>
      <c r="F72" s="136"/>
      <c r="G72" s="66"/>
      <c r="H72" s="66"/>
      <c r="I72" s="66"/>
      <c r="J72" s="66"/>
      <c r="K72" s="66"/>
      <c r="L72" s="66"/>
      <c r="M72" s="66"/>
      <c r="N72" s="66"/>
      <c r="O72" s="66"/>
      <c r="P72" s="119"/>
      <c r="Q72" s="66"/>
      <c r="R72" s="119"/>
      <c r="S72" s="66"/>
      <c r="T72" s="119"/>
      <c r="U72" s="119"/>
      <c r="V72" s="119"/>
      <c r="W72" s="119"/>
      <c r="X72" s="66"/>
      <c r="Y72" s="66"/>
      <c r="Z72" s="66"/>
      <c r="AA72" s="66"/>
      <c r="AB72" s="66"/>
      <c r="AC72" s="119"/>
      <c r="AD72" s="119"/>
      <c r="AE72" s="66"/>
      <c r="AF72" s="66"/>
      <c r="AG72" s="66"/>
      <c r="AH72" s="130"/>
      <c r="AI72" s="130"/>
    </row>
    <row r="73" ht="15.75" customHeight="1">
      <c r="A73" s="66"/>
      <c r="B73" s="134"/>
      <c r="C73" s="135"/>
      <c r="D73" s="66"/>
      <c r="E73" s="136"/>
      <c r="F73" s="136"/>
      <c r="G73" s="66"/>
      <c r="H73" s="66"/>
      <c r="I73" s="66"/>
      <c r="J73" s="66"/>
      <c r="K73" s="66"/>
      <c r="L73" s="66"/>
      <c r="M73" s="66"/>
      <c r="N73" s="66"/>
      <c r="O73" s="66"/>
      <c r="P73" s="119"/>
      <c r="Q73" s="66"/>
      <c r="R73" s="119"/>
      <c r="S73" s="66"/>
      <c r="T73" s="119"/>
      <c r="U73" s="119"/>
      <c r="V73" s="119"/>
      <c r="W73" s="119"/>
      <c r="X73" s="66"/>
      <c r="Y73" s="66"/>
      <c r="Z73" s="66"/>
      <c r="AA73" s="66"/>
      <c r="AB73" s="66"/>
      <c r="AC73" s="119"/>
      <c r="AD73" s="119"/>
      <c r="AE73" s="66"/>
      <c r="AF73" s="66"/>
      <c r="AG73" s="66"/>
      <c r="AH73" s="130"/>
      <c r="AI73" s="130"/>
    </row>
    <row r="74" ht="15.75" customHeight="1">
      <c r="A74" s="66"/>
      <c r="B74" s="134"/>
      <c r="C74" s="135"/>
      <c r="D74" s="66"/>
      <c r="E74" s="136"/>
      <c r="F74" s="136"/>
      <c r="G74" s="66"/>
      <c r="H74" s="66"/>
      <c r="I74" s="66"/>
      <c r="J74" s="66"/>
      <c r="K74" s="66"/>
      <c r="L74" s="66"/>
      <c r="M74" s="66"/>
      <c r="N74" s="66"/>
      <c r="O74" s="66"/>
      <c r="P74" s="119"/>
      <c r="Q74" s="66"/>
      <c r="R74" s="119"/>
      <c r="S74" s="66"/>
      <c r="T74" s="119"/>
      <c r="U74" s="119"/>
      <c r="V74" s="119"/>
      <c r="W74" s="119"/>
      <c r="X74" s="66"/>
      <c r="Y74" s="66"/>
      <c r="Z74" s="66"/>
      <c r="AA74" s="66"/>
      <c r="AB74" s="66"/>
      <c r="AC74" s="119"/>
      <c r="AD74" s="119"/>
      <c r="AE74" s="66"/>
      <c r="AF74" s="66"/>
      <c r="AG74" s="66"/>
      <c r="AH74" s="130"/>
      <c r="AI74" s="130"/>
    </row>
    <row r="75" ht="15.75" customHeight="1">
      <c r="A75" s="66"/>
      <c r="B75" s="134"/>
      <c r="C75" s="135"/>
      <c r="D75" s="66"/>
      <c r="E75" s="136"/>
      <c r="F75" s="136"/>
      <c r="G75" s="66"/>
      <c r="H75" s="66"/>
      <c r="I75" s="66"/>
      <c r="J75" s="66"/>
      <c r="K75" s="66"/>
      <c r="L75" s="66"/>
      <c r="M75" s="66"/>
      <c r="N75" s="66"/>
      <c r="O75" s="66"/>
      <c r="P75" s="119"/>
      <c r="Q75" s="66"/>
      <c r="R75" s="119"/>
      <c r="S75" s="66"/>
      <c r="T75" s="119"/>
      <c r="U75" s="119"/>
      <c r="V75" s="119"/>
      <c r="W75" s="119"/>
      <c r="X75" s="66"/>
      <c r="Y75" s="66"/>
      <c r="Z75" s="66"/>
      <c r="AA75" s="66"/>
      <c r="AB75" s="66"/>
      <c r="AC75" s="119"/>
      <c r="AD75" s="119"/>
      <c r="AE75" s="66"/>
      <c r="AF75" s="66"/>
      <c r="AG75" s="66"/>
      <c r="AH75" s="130"/>
      <c r="AI75" s="130"/>
    </row>
    <row r="76" ht="15.75" customHeight="1">
      <c r="A76" s="66"/>
      <c r="B76" s="134"/>
      <c r="C76" s="135"/>
      <c r="D76" s="66"/>
      <c r="E76" s="136"/>
      <c r="F76" s="136"/>
      <c r="G76" s="66"/>
      <c r="H76" s="66"/>
      <c r="I76" s="66"/>
      <c r="J76" s="66"/>
      <c r="K76" s="66"/>
      <c r="L76" s="66"/>
      <c r="M76" s="66"/>
      <c r="N76" s="66"/>
      <c r="O76" s="66"/>
      <c r="P76" s="119"/>
      <c r="Q76" s="66"/>
      <c r="R76" s="119"/>
      <c r="S76" s="66"/>
      <c r="T76" s="119"/>
      <c r="U76" s="119"/>
      <c r="V76" s="119"/>
      <c r="W76" s="119"/>
      <c r="X76" s="66"/>
      <c r="Y76" s="66"/>
      <c r="Z76" s="66"/>
      <c r="AA76" s="66"/>
      <c r="AB76" s="66"/>
      <c r="AC76" s="119"/>
      <c r="AD76" s="119"/>
      <c r="AE76" s="66"/>
      <c r="AF76" s="66"/>
      <c r="AG76" s="66"/>
      <c r="AH76" s="130"/>
      <c r="AI76" s="130"/>
    </row>
    <row r="77" ht="15.75" customHeight="1">
      <c r="A77" s="66"/>
      <c r="B77" s="134"/>
      <c r="C77" s="135"/>
      <c r="D77" s="66"/>
      <c r="E77" s="136"/>
      <c r="F77" s="136"/>
      <c r="G77" s="66"/>
      <c r="H77" s="66"/>
      <c r="I77" s="66"/>
      <c r="J77" s="66"/>
      <c r="K77" s="66"/>
      <c r="L77" s="66"/>
      <c r="M77" s="66"/>
      <c r="N77" s="66"/>
      <c r="O77" s="66"/>
      <c r="P77" s="119"/>
      <c r="Q77" s="66"/>
      <c r="R77" s="119"/>
      <c r="S77" s="66"/>
      <c r="T77" s="119"/>
      <c r="U77" s="119"/>
      <c r="V77" s="119"/>
      <c r="W77" s="119"/>
      <c r="X77" s="66"/>
      <c r="Y77" s="66"/>
      <c r="Z77" s="66"/>
      <c r="AA77" s="66"/>
      <c r="AB77" s="66"/>
      <c r="AC77" s="119"/>
      <c r="AD77" s="119"/>
      <c r="AE77" s="66"/>
      <c r="AF77" s="66"/>
      <c r="AG77" s="66"/>
      <c r="AH77" s="130"/>
      <c r="AI77" s="130"/>
    </row>
    <row r="78" ht="15.75" customHeight="1">
      <c r="A78" s="66"/>
      <c r="B78" s="134"/>
      <c r="C78" s="135"/>
      <c r="D78" s="66"/>
      <c r="E78" s="136"/>
      <c r="F78" s="136"/>
      <c r="G78" s="66"/>
      <c r="H78" s="66"/>
      <c r="I78" s="66"/>
      <c r="J78" s="66"/>
      <c r="K78" s="66"/>
      <c r="L78" s="66"/>
      <c r="M78" s="66"/>
      <c r="N78" s="66"/>
      <c r="O78" s="66"/>
      <c r="P78" s="119"/>
      <c r="Q78" s="66"/>
      <c r="R78" s="119"/>
      <c r="S78" s="66"/>
      <c r="T78" s="119"/>
      <c r="U78" s="119"/>
      <c r="V78" s="119"/>
      <c r="W78" s="119"/>
      <c r="X78" s="66"/>
      <c r="Y78" s="66"/>
      <c r="Z78" s="66"/>
      <c r="AA78" s="66"/>
      <c r="AB78" s="66"/>
      <c r="AC78" s="119"/>
      <c r="AD78" s="119"/>
      <c r="AE78" s="66"/>
      <c r="AF78" s="66"/>
      <c r="AG78" s="66"/>
      <c r="AH78" s="130"/>
      <c r="AI78" s="130"/>
    </row>
    <row r="79" ht="15.75" customHeight="1">
      <c r="A79" s="66"/>
      <c r="B79" s="134"/>
      <c r="C79" s="135"/>
      <c r="D79" s="66"/>
      <c r="E79" s="136"/>
      <c r="F79" s="136"/>
      <c r="G79" s="66"/>
      <c r="H79" s="66"/>
      <c r="I79" s="66"/>
      <c r="J79" s="66"/>
      <c r="K79" s="66"/>
      <c r="L79" s="66"/>
      <c r="M79" s="66"/>
      <c r="N79" s="66"/>
      <c r="O79" s="66"/>
      <c r="P79" s="119"/>
      <c r="Q79" s="66"/>
      <c r="R79" s="119"/>
      <c r="S79" s="66"/>
      <c r="T79" s="119"/>
      <c r="U79" s="119"/>
      <c r="V79" s="119"/>
      <c r="W79" s="119"/>
      <c r="X79" s="66"/>
      <c r="Y79" s="66"/>
      <c r="Z79" s="66"/>
      <c r="AA79" s="66"/>
      <c r="AB79" s="66"/>
      <c r="AC79" s="119"/>
      <c r="AD79" s="119"/>
      <c r="AE79" s="66"/>
      <c r="AF79" s="66"/>
      <c r="AG79" s="66"/>
      <c r="AH79" s="130"/>
      <c r="AI79" s="130"/>
    </row>
    <row r="80" ht="15.75" customHeight="1">
      <c r="A80" s="66"/>
      <c r="B80" s="134"/>
      <c r="C80" s="135"/>
      <c r="D80" s="66"/>
      <c r="E80" s="136"/>
      <c r="F80" s="136"/>
      <c r="G80" s="66"/>
      <c r="H80" s="66"/>
      <c r="I80" s="66"/>
      <c r="J80" s="66"/>
      <c r="K80" s="66"/>
      <c r="L80" s="66"/>
      <c r="M80" s="66"/>
      <c r="N80" s="66"/>
      <c r="O80" s="66"/>
      <c r="P80" s="119"/>
      <c r="Q80" s="66"/>
      <c r="R80" s="119"/>
      <c r="S80" s="66"/>
      <c r="T80" s="119"/>
      <c r="U80" s="119"/>
      <c r="V80" s="119"/>
      <c r="W80" s="119"/>
      <c r="X80" s="66"/>
      <c r="Y80" s="66"/>
      <c r="Z80" s="66"/>
      <c r="AA80" s="66"/>
      <c r="AB80" s="66"/>
      <c r="AC80" s="119"/>
      <c r="AD80" s="119"/>
      <c r="AE80" s="66"/>
      <c r="AF80" s="66"/>
      <c r="AG80" s="66"/>
      <c r="AH80" s="130"/>
      <c r="AI80" s="130"/>
    </row>
    <row r="81" ht="15.75" customHeight="1">
      <c r="A81" s="66"/>
      <c r="B81" s="134"/>
      <c r="C81" s="135"/>
      <c r="D81" s="66"/>
      <c r="E81" s="136"/>
      <c r="F81" s="136"/>
      <c r="G81" s="66"/>
      <c r="H81" s="66"/>
      <c r="I81" s="66"/>
      <c r="J81" s="66"/>
      <c r="K81" s="66"/>
      <c r="L81" s="66"/>
      <c r="M81" s="66"/>
      <c r="N81" s="66"/>
      <c r="O81" s="66"/>
      <c r="P81" s="119"/>
      <c r="Q81" s="66"/>
      <c r="R81" s="119"/>
      <c r="S81" s="66"/>
      <c r="T81" s="119"/>
      <c r="U81" s="119"/>
      <c r="V81" s="119"/>
      <c r="W81" s="119"/>
      <c r="X81" s="66"/>
      <c r="Y81" s="66"/>
      <c r="Z81" s="66"/>
      <c r="AA81" s="66"/>
      <c r="AB81" s="66"/>
      <c r="AC81" s="119"/>
      <c r="AD81" s="119"/>
      <c r="AE81" s="66"/>
      <c r="AF81" s="66"/>
      <c r="AG81" s="66"/>
      <c r="AH81" s="130"/>
      <c r="AI81" s="130"/>
    </row>
    <row r="82" ht="15.75" customHeight="1">
      <c r="A82" s="66"/>
      <c r="B82" s="134"/>
      <c r="C82" s="135"/>
      <c r="D82" s="66"/>
      <c r="E82" s="136"/>
      <c r="F82" s="136"/>
      <c r="G82" s="66"/>
      <c r="H82" s="66"/>
      <c r="I82" s="66"/>
      <c r="J82" s="66"/>
      <c r="K82" s="66"/>
      <c r="L82" s="66"/>
      <c r="M82" s="66"/>
      <c r="N82" s="66"/>
      <c r="O82" s="66"/>
      <c r="P82" s="119"/>
      <c r="Q82" s="66"/>
      <c r="R82" s="119"/>
      <c r="S82" s="66"/>
      <c r="T82" s="119"/>
      <c r="U82" s="119"/>
      <c r="V82" s="119"/>
      <c r="W82" s="119"/>
      <c r="X82" s="66"/>
      <c r="Y82" s="66"/>
      <c r="Z82" s="66"/>
      <c r="AA82" s="66"/>
      <c r="AB82" s="66"/>
      <c r="AC82" s="119"/>
      <c r="AD82" s="119"/>
      <c r="AE82" s="66"/>
      <c r="AF82" s="66"/>
      <c r="AG82" s="66"/>
      <c r="AH82" s="130"/>
      <c r="AI82" s="130"/>
    </row>
    <row r="83" ht="15.75" customHeight="1">
      <c r="A83" s="66"/>
      <c r="B83" s="134"/>
      <c r="C83" s="135"/>
      <c r="D83" s="66"/>
      <c r="E83" s="136"/>
      <c r="F83" s="136"/>
      <c r="G83" s="66"/>
      <c r="H83" s="66"/>
      <c r="I83" s="66"/>
      <c r="J83" s="66"/>
      <c r="K83" s="66"/>
      <c r="L83" s="66"/>
      <c r="M83" s="66"/>
      <c r="N83" s="66"/>
      <c r="O83" s="66"/>
      <c r="P83" s="119"/>
      <c r="Q83" s="66"/>
      <c r="R83" s="119"/>
      <c r="S83" s="66"/>
      <c r="T83" s="119"/>
      <c r="U83" s="119"/>
      <c r="V83" s="119"/>
      <c r="W83" s="119"/>
      <c r="X83" s="66"/>
      <c r="Y83" s="66"/>
      <c r="Z83" s="66"/>
      <c r="AA83" s="66"/>
      <c r="AB83" s="66"/>
      <c r="AC83" s="119"/>
      <c r="AD83" s="119"/>
      <c r="AE83" s="66"/>
      <c r="AF83" s="66"/>
      <c r="AG83" s="66"/>
      <c r="AH83" s="130"/>
      <c r="AI83" s="130"/>
    </row>
    <row r="84" ht="15.75" customHeight="1">
      <c r="A84" s="66"/>
      <c r="B84" s="134"/>
      <c r="C84" s="135"/>
      <c r="D84" s="66"/>
      <c r="E84" s="136"/>
      <c r="F84" s="136"/>
      <c r="G84" s="66"/>
      <c r="H84" s="66"/>
      <c r="I84" s="66"/>
      <c r="J84" s="66"/>
      <c r="K84" s="66"/>
      <c r="L84" s="66"/>
      <c r="M84" s="66"/>
      <c r="N84" s="66"/>
      <c r="O84" s="66"/>
      <c r="P84" s="119"/>
      <c r="Q84" s="66"/>
      <c r="R84" s="119"/>
      <c r="S84" s="66"/>
      <c r="T84" s="119"/>
      <c r="U84" s="119"/>
      <c r="V84" s="119"/>
      <c r="W84" s="119"/>
      <c r="X84" s="66"/>
      <c r="Y84" s="66"/>
      <c r="Z84" s="66"/>
      <c r="AA84" s="66"/>
      <c r="AB84" s="66"/>
      <c r="AC84" s="119"/>
      <c r="AD84" s="119"/>
      <c r="AE84" s="66"/>
      <c r="AF84" s="66"/>
      <c r="AG84" s="66"/>
      <c r="AH84" s="130"/>
      <c r="AI84" s="130"/>
    </row>
    <row r="85" ht="15.75" customHeight="1">
      <c r="A85" s="66"/>
      <c r="B85" s="134"/>
      <c r="C85" s="135"/>
      <c r="D85" s="66"/>
      <c r="E85" s="136"/>
      <c r="F85" s="136"/>
      <c r="G85" s="66"/>
      <c r="H85" s="66"/>
      <c r="I85" s="66"/>
      <c r="J85" s="66"/>
      <c r="K85" s="66"/>
      <c r="L85" s="66"/>
      <c r="M85" s="66"/>
      <c r="N85" s="66"/>
      <c r="O85" s="66"/>
      <c r="P85" s="119"/>
      <c r="Q85" s="66"/>
      <c r="R85" s="119"/>
      <c r="S85" s="66"/>
      <c r="T85" s="119"/>
      <c r="U85" s="119"/>
      <c r="V85" s="119"/>
      <c r="W85" s="119"/>
      <c r="X85" s="66"/>
      <c r="Y85" s="66"/>
      <c r="Z85" s="66"/>
      <c r="AA85" s="66"/>
      <c r="AB85" s="66"/>
      <c r="AC85" s="119"/>
      <c r="AD85" s="119"/>
      <c r="AE85" s="66"/>
      <c r="AF85" s="66"/>
      <c r="AG85" s="66"/>
      <c r="AH85" s="130"/>
      <c r="AI85" s="130"/>
    </row>
    <row r="86" ht="15.75" customHeight="1">
      <c r="A86" s="66"/>
      <c r="B86" s="134"/>
      <c r="C86" s="135"/>
      <c r="D86" s="66"/>
      <c r="E86" s="136"/>
      <c r="F86" s="136"/>
      <c r="G86" s="66"/>
      <c r="H86" s="66"/>
      <c r="I86" s="66"/>
      <c r="J86" s="66"/>
      <c r="K86" s="66"/>
      <c r="L86" s="66"/>
      <c r="M86" s="66"/>
      <c r="N86" s="66"/>
      <c r="O86" s="66"/>
      <c r="P86" s="119"/>
      <c r="Q86" s="66"/>
      <c r="R86" s="119"/>
      <c r="S86" s="66"/>
      <c r="T86" s="119"/>
      <c r="U86" s="119"/>
      <c r="V86" s="119"/>
      <c r="W86" s="119"/>
      <c r="X86" s="66"/>
      <c r="Y86" s="66"/>
      <c r="Z86" s="66"/>
      <c r="AA86" s="66"/>
      <c r="AB86" s="66"/>
      <c r="AC86" s="119"/>
      <c r="AD86" s="119"/>
      <c r="AE86" s="66"/>
      <c r="AF86" s="66"/>
      <c r="AG86" s="66"/>
      <c r="AH86" s="130"/>
      <c r="AI86" s="130"/>
    </row>
    <row r="87" ht="15.75" customHeight="1">
      <c r="A87" s="66"/>
      <c r="B87" s="134"/>
      <c r="C87" s="135"/>
      <c r="D87" s="66"/>
      <c r="E87" s="136"/>
      <c r="F87" s="136"/>
      <c r="G87" s="66"/>
      <c r="H87" s="66"/>
      <c r="I87" s="66"/>
      <c r="J87" s="66"/>
      <c r="K87" s="66"/>
      <c r="L87" s="66"/>
      <c r="M87" s="66"/>
      <c r="N87" s="66"/>
      <c r="O87" s="66"/>
      <c r="P87" s="119"/>
      <c r="Q87" s="66"/>
      <c r="R87" s="119"/>
      <c r="S87" s="66"/>
      <c r="T87" s="119"/>
      <c r="U87" s="119"/>
      <c r="V87" s="119"/>
      <c r="W87" s="119"/>
      <c r="X87" s="66"/>
      <c r="Y87" s="66"/>
      <c r="Z87" s="66"/>
      <c r="AA87" s="66"/>
      <c r="AB87" s="66"/>
      <c r="AC87" s="119"/>
      <c r="AD87" s="119"/>
      <c r="AE87" s="66"/>
      <c r="AF87" s="66"/>
      <c r="AG87" s="66"/>
      <c r="AH87" s="130"/>
      <c r="AI87" s="130"/>
    </row>
    <row r="88" ht="15.75" customHeight="1">
      <c r="A88" s="66"/>
      <c r="B88" s="134"/>
      <c r="C88" s="135"/>
      <c r="D88" s="66"/>
      <c r="E88" s="136"/>
      <c r="F88" s="136"/>
      <c r="G88" s="66"/>
      <c r="H88" s="66"/>
      <c r="I88" s="66"/>
      <c r="J88" s="66"/>
      <c r="K88" s="66"/>
      <c r="L88" s="66"/>
      <c r="M88" s="66"/>
      <c r="N88" s="66"/>
      <c r="O88" s="66"/>
      <c r="P88" s="119"/>
      <c r="Q88" s="66"/>
      <c r="R88" s="119"/>
      <c r="S88" s="66"/>
      <c r="T88" s="119"/>
      <c r="U88" s="119"/>
      <c r="V88" s="119"/>
      <c r="W88" s="119"/>
      <c r="X88" s="66"/>
      <c r="Y88" s="66"/>
      <c r="Z88" s="66"/>
      <c r="AA88" s="66"/>
      <c r="AB88" s="66"/>
      <c r="AC88" s="119"/>
      <c r="AD88" s="119"/>
      <c r="AE88" s="66"/>
      <c r="AF88" s="66"/>
      <c r="AG88" s="66"/>
      <c r="AH88" s="130"/>
      <c r="AI88" s="130"/>
    </row>
    <row r="89" ht="15.75" customHeight="1">
      <c r="A89" s="66"/>
      <c r="B89" s="134"/>
      <c r="C89" s="135"/>
      <c r="D89" s="66"/>
      <c r="E89" s="136"/>
      <c r="F89" s="136"/>
      <c r="G89" s="66"/>
      <c r="H89" s="66"/>
      <c r="I89" s="66"/>
      <c r="J89" s="66"/>
      <c r="K89" s="66"/>
      <c r="L89" s="66"/>
      <c r="M89" s="66"/>
      <c r="N89" s="66"/>
      <c r="O89" s="66"/>
      <c r="P89" s="119"/>
      <c r="Q89" s="66"/>
      <c r="R89" s="119"/>
      <c r="S89" s="66"/>
      <c r="T89" s="119"/>
      <c r="U89" s="119"/>
      <c r="V89" s="119"/>
      <c r="W89" s="119"/>
      <c r="X89" s="66"/>
      <c r="Y89" s="66"/>
      <c r="Z89" s="66"/>
      <c r="AA89" s="66"/>
      <c r="AB89" s="66"/>
      <c r="AC89" s="119"/>
      <c r="AD89" s="119"/>
      <c r="AE89" s="66"/>
      <c r="AF89" s="66"/>
      <c r="AG89" s="66"/>
      <c r="AH89" s="130"/>
      <c r="AI89" s="130"/>
    </row>
    <row r="90" ht="15.75" customHeight="1">
      <c r="A90" s="66"/>
      <c r="B90" s="134"/>
      <c r="C90" s="135"/>
      <c r="D90" s="66"/>
      <c r="E90" s="136"/>
      <c r="F90" s="136"/>
      <c r="G90" s="66"/>
      <c r="H90" s="66"/>
      <c r="I90" s="66"/>
      <c r="J90" s="66"/>
      <c r="K90" s="66"/>
      <c r="L90" s="66"/>
      <c r="M90" s="66"/>
      <c r="N90" s="66"/>
      <c r="O90" s="66"/>
      <c r="P90" s="119"/>
      <c r="Q90" s="66"/>
      <c r="R90" s="119"/>
      <c r="S90" s="66"/>
      <c r="T90" s="119"/>
      <c r="U90" s="119"/>
      <c r="V90" s="119"/>
      <c r="W90" s="119"/>
      <c r="X90" s="66"/>
      <c r="Y90" s="66"/>
      <c r="Z90" s="66"/>
      <c r="AA90" s="66"/>
      <c r="AB90" s="66"/>
      <c r="AC90" s="119"/>
      <c r="AD90" s="119"/>
      <c r="AE90" s="66"/>
      <c r="AF90" s="66"/>
      <c r="AG90" s="66"/>
      <c r="AH90" s="130"/>
      <c r="AI90" s="130"/>
    </row>
    <row r="91" ht="15.75" customHeight="1">
      <c r="A91" s="66"/>
      <c r="B91" s="134"/>
      <c r="C91" s="135"/>
      <c r="D91" s="66"/>
      <c r="E91" s="136"/>
      <c r="F91" s="136"/>
      <c r="G91" s="66"/>
      <c r="H91" s="66"/>
      <c r="I91" s="66"/>
      <c r="J91" s="66"/>
      <c r="K91" s="66"/>
      <c r="L91" s="66"/>
      <c r="M91" s="66"/>
      <c r="N91" s="66"/>
      <c r="O91" s="66"/>
      <c r="P91" s="119"/>
      <c r="Q91" s="66"/>
      <c r="R91" s="119"/>
      <c r="S91" s="66"/>
      <c r="T91" s="119"/>
      <c r="U91" s="119"/>
      <c r="V91" s="119"/>
      <c r="W91" s="119"/>
      <c r="X91" s="66"/>
      <c r="Y91" s="66"/>
      <c r="Z91" s="66"/>
      <c r="AA91" s="66"/>
      <c r="AB91" s="66"/>
      <c r="AC91" s="119"/>
      <c r="AD91" s="119"/>
      <c r="AE91" s="66"/>
      <c r="AF91" s="66"/>
      <c r="AG91" s="66"/>
      <c r="AH91" s="130"/>
      <c r="AI91" s="130"/>
    </row>
    <row r="92" ht="15.75" customHeight="1">
      <c r="A92" s="66"/>
      <c r="B92" s="134"/>
      <c r="C92" s="135"/>
      <c r="D92" s="66"/>
      <c r="E92" s="136"/>
      <c r="F92" s="136"/>
      <c r="G92" s="66"/>
      <c r="H92" s="66"/>
      <c r="I92" s="66"/>
      <c r="J92" s="66"/>
      <c r="K92" s="66"/>
      <c r="L92" s="66"/>
      <c r="M92" s="66"/>
      <c r="N92" s="66"/>
      <c r="O92" s="66"/>
      <c r="P92" s="119"/>
      <c r="Q92" s="66"/>
      <c r="R92" s="119"/>
      <c r="S92" s="66"/>
      <c r="T92" s="119"/>
      <c r="U92" s="119"/>
      <c r="V92" s="119"/>
      <c r="W92" s="119"/>
      <c r="X92" s="66"/>
      <c r="Y92" s="66"/>
      <c r="Z92" s="66"/>
      <c r="AA92" s="66"/>
      <c r="AB92" s="66"/>
      <c r="AC92" s="119"/>
      <c r="AD92" s="119"/>
      <c r="AE92" s="66"/>
      <c r="AF92" s="66"/>
      <c r="AG92" s="66"/>
      <c r="AH92" s="130"/>
      <c r="AI92" s="130"/>
    </row>
    <row r="93" ht="15.75" customHeight="1">
      <c r="A93" s="66"/>
      <c r="B93" s="134"/>
      <c r="C93" s="135"/>
      <c r="D93" s="66"/>
      <c r="E93" s="136"/>
      <c r="F93" s="136"/>
      <c r="G93" s="66"/>
      <c r="H93" s="66"/>
      <c r="I93" s="66"/>
      <c r="J93" s="66"/>
      <c r="K93" s="66"/>
      <c r="L93" s="66"/>
      <c r="M93" s="66"/>
      <c r="N93" s="66"/>
      <c r="O93" s="66"/>
      <c r="P93" s="119"/>
      <c r="Q93" s="66"/>
      <c r="R93" s="119"/>
      <c r="S93" s="66"/>
      <c r="T93" s="119"/>
      <c r="U93" s="119"/>
      <c r="V93" s="119"/>
      <c r="W93" s="119"/>
      <c r="X93" s="66"/>
      <c r="Y93" s="66"/>
      <c r="Z93" s="66"/>
      <c r="AA93" s="66"/>
      <c r="AB93" s="66"/>
      <c r="AC93" s="119"/>
      <c r="AD93" s="119"/>
      <c r="AE93" s="66"/>
      <c r="AF93" s="66"/>
      <c r="AG93" s="66"/>
      <c r="AH93" s="130"/>
      <c r="AI93" s="130"/>
    </row>
    <row r="94" ht="15.75" customHeight="1">
      <c r="A94" s="66"/>
      <c r="B94" s="134"/>
      <c r="C94" s="135"/>
      <c r="D94" s="66"/>
      <c r="E94" s="136"/>
      <c r="F94" s="136"/>
      <c r="G94" s="66"/>
      <c r="H94" s="66"/>
      <c r="I94" s="66"/>
      <c r="J94" s="66"/>
      <c r="K94" s="66"/>
      <c r="L94" s="66"/>
      <c r="M94" s="66"/>
      <c r="N94" s="66"/>
      <c r="O94" s="66"/>
      <c r="P94" s="119"/>
      <c r="Q94" s="66"/>
      <c r="R94" s="119"/>
      <c r="S94" s="66"/>
      <c r="T94" s="119"/>
      <c r="U94" s="119"/>
      <c r="V94" s="119"/>
      <c r="W94" s="119"/>
      <c r="X94" s="66"/>
      <c r="Y94" s="66"/>
      <c r="Z94" s="66"/>
      <c r="AA94" s="66"/>
      <c r="AB94" s="66"/>
      <c r="AC94" s="119"/>
      <c r="AD94" s="119"/>
      <c r="AE94" s="66"/>
      <c r="AF94" s="66"/>
      <c r="AG94" s="66"/>
      <c r="AH94" s="130"/>
      <c r="AI94" s="130"/>
    </row>
    <row r="95" ht="15.75" customHeight="1">
      <c r="A95" s="66"/>
      <c r="B95" s="134"/>
      <c r="C95" s="135"/>
      <c r="D95" s="66"/>
      <c r="E95" s="136"/>
      <c r="F95" s="136"/>
      <c r="G95" s="66"/>
      <c r="H95" s="66"/>
      <c r="I95" s="66"/>
      <c r="J95" s="66"/>
      <c r="K95" s="66"/>
      <c r="L95" s="66"/>
      <c r="M95" s="66"/>
      <c r="N95" s="66"/>
      <c r="O95" s="66"/>
      <c r="P95" s="119"/>
      <c r="Q95" s="66"/>
      <c r="R95" s="119"/>
      <c r="S95" s="66"/>
      <c r="T95" s="119"/>
      <c r="U95" s="119"/>
      <c r="V95" s="119"/>
      <c r="W95" s="119"/>
      <c r="X95" s="66"/>
      <c r="Y95" s="66"/>
      <c r="Z95" s="66"/>
      <c r="AA95" s="66"/>
      <c r="AB95" s="66"/>
      <c r="AC95" s="119"/>
      <c r="AD95" s="119"/>
      <c r="AE95" s="66"/>
      <c r="AF95" s="66"/>
      <c r="AG95" s="66"/>
      <c r="AH95" s="130"/>
      <c r="AI95" s="130"/>
    </row>
    <row r="96" ht="15.75" customHeight="1">
      <c r="A96" s="66"/>
      <c r="B96" s="134"/>
      <c r="C96" s="135"/>
      <c r="D96" s="66"/>
      <c r="E96" s="136"/>
      <c r="F96" s="136"/>
      <c r="G96" s="66"/>
      <c r="H96" s="66"/>
      <c r="I96" s="66"/>
      <c r="J96" s="66"/>
      <c r="K96" s="66"/>
      <c r="L96" s="66"/>
      <c r="M96" s="66"/>
      <c r="N96" s="66"/>
      <c r="O96" s="66"/>
      <c r="P96" s="119"/>
      <c r="Q96" s="66"/>
      <c r="R96" s="119"/>
      <c r="S96" s="66"/>
      <c r="T96" s="119"/>
      <c r="U96" s="119"/>
      <c r="V96" s="119"/>
      <c r="W96" s="119"/>
      <c r="X96" s="66"/>
      <c r="Y96" s="66"/>
      <c r="Z96" s="66"/>
      <c r="AA96" s="66"/>
      <c r="AB96" s="66"/>
      <c r="AC96" s="119"/>
      <c r="AD96" s="119"/>
      <c r="AE96" s="66"/>
      <c r="AF96" s="66"/>
      <c r="AG96" s="66"/>
      <c r="AH96" s="130"/>
      <c r="AI96" s="130"/>
    </row>
    <row r="97" ht="15.75" customHeight="1">
      <c r="A97" s="66"/>
      <c r="B97" s="134"/>
      <c r="C97" s="135"/>
      <c r="D97" s="66"/>
      <c r="E97" s="136"/>
      <c r="F97" s="136"/>
      <c r="G97" s="66"/>
      <c r="H97" s="66"/>
      <c r="I97" s="66"/>
      <c r="J97" s="66"/>
      <c r="K97" s="66"/>
      <c r="L97" s="66"/>
      <c r="M97" s="66"/>
      <c r="N97" s="66"/>
      <c r="O97" s="66"/>
      <c r="P97" s="119"/>
      <c r="Q97" s="66"/>
      <c r="R97" s="119"/>
      <c r="S97" s="66"/>
      <c r="T97" s="119"/>
      <c r="U97" s="119"/>
      <c r="V97" s="119"/>
      <c r="W97" s="119"/>
      <c r="X97" s="66"/>
      <c r="Y97" s="66"/>
      <c r="Z97" s="66"/>
      <c r="AA97" s="66"/>
      <c r="AB97" s="66"/>
      <c r="AC97" s="119"/>
      <c r="AD97" s="119"/>
      <c r="AE97" s="66"/>
      <c r="AF97" s="66"/>
      <c r="AG97" s="66"/>
      <c r="AH97" s="130"/>
      <c r="AI97" s="130"/>
    </row>
    <row r="98" ht="15.75" customHeight="1">
      <c r="A98" s="66"/>
      <c r="B98" s="134"/>
      <c r="C98" s="135"/>
      <c r="D98" s="66"/>
      <c r="E98" s="136"/>
      <c r="F98" s="136"/>
      <c r="G98" s="66"/>
      <c r="H98" s="66"/>
      <c r="I98" s="66"/>
      <c r="J98" s="66"/>
      <c r="K98" s="66"/>
      <c r="L98" s="66"/>
      <c r="M98" s="66"/>
      <c r="N98" s="66"/>
      <c r="O98" s="66"/>
      <c r="P98" s="119"/>
      <c r="Q98" s="66"/>
      <c r="R98" s="119"/>
      <c r="S98" s="66"/>
      <c r="T98" s="119"/>
      <c r="U98" s="119"/>
      <c r="V98" s="119"/>
      <c r="W98" s="119"/>
      <c r="X98" s="66"/>
      <c r="Y98" s="66"/>
      <c r="Z98" s="66"/>
      <c r="AA98" s="66"/>
      <c r="AB98" s="66"/>
      <c r="AC98" s="119"/>
      <c r="AD98" s="119"/>
      <c r="AE98" s="66"/>
      <c r="AF98" s="66"/>
      <c r="AG98" s="66"/>
      <c r="AH98" s="130"/>
      <c r="AI98" s="130"/>
    </row>
    <row r="99" ht="15.75" customHeight="1">
      <c r="A99" s="66"/>
      <c r="B99" s="134"/>
      <c r="C99" s="135"/>
      <c r="D99" s="66"/>
      <c r="E99" s="136"/>
      <c r="F99" s="136"/>
      <c r="G99" s="66"/>
      <c r="H99" s="66"/>
      <c r="I99" s="66"/>
      <c r="J99" s="66"/>
      <c r="K99" s="66"/>
      <c r="L99" s="66"/>
      <c r="M99" s="66"/>
      <c r="N99" s="66"/>
      <c r="O99" s="66"/>
      <c r="P99" s="119"/>
      <c r="Q99" s="66"/>
      <c r="R99" s="119"/>
      <c r="S99" s="66"/>
      <c r="T99" s="119"/>
      <c r="U99" s="119"/>
      <c r="V99" s="119"/>
      <c r="W99" s="119"/>
      <c r="X99" s="66"/>
      <c r="Y99" s="66"/>
      <c r="Z99" s="66"/>
      <c r="AA99" s="66"/>
      <c r="AB99" s="66"/>
      <c r="AC99" s="119"/>
      <c r="AD99" s="119"/>
      <c r="AE99" s="66"/>
      <c r="AF99" s="66"/>
      <c r="AG99" s="66"/>
      <c r="AH99" s="130"/>
      <c r="AI99" s="130"/>
    </row>
    <row r="100" ht="15.75" customHeight="1">
      <c r="A100" s="66"/>
      <c r="B100" s="134"/>
      <c r="C100" s="135"/>
      <c r="D100" s="66"/>
      <c r="E100" s="136"/>
      <c r="F100" s="136"/>
      <c r="G100" s="66"/>
      <c r="H100" s="66"/>
      <c r="I100" s="66"/>
      <c r="J100" s="66"/>
      <c r="K100" s="66"/>
      <c r="L100" s="66"/>
      <c r="M100" s="66"/>
      <c r="N100" s="66"/>
      <c r="O100" s="66"/>
      <c r="P100" s="119"/>
      <c r="Q100" s="66"/>
      <c r="R100" s="119"/>
      <c r="S100" s="66"/>
      <c r="T100" s="119"/>
      <c r="U100" s="119"/>
      <c r="V100" s="119"/>
      <c r="W100" s="119"/>
      <c r="X100" s="66"/>
      <c r="Y100" s="66"/>
      <c r="Z100" s="66"/>
      <c r="AA100" s="66"/>
      <c r="AB100" s="66"/>
      <c r="AC100" s="119"/>
      <c r="AD100" s="119"/>
      <c r="AE100" s="66"/>
      <c r="AF100" s="66"/>
      <c r="AG100" s="66"/>
      <c r="AH100" s="130"/>
      <c r="AI100" s="130"/>
    </row>
    <row r="101" ht="15.75" customHeight="1">
      <c r="A101" s="66"/>
      <c r="B101" s="134"/>
      <c r="C101" s="135"/>
      <c r="D101" s="66"/>
      <c r="E101" s="136"/>
      <c r="F101" s="136"/>
      <c r="G101" s="66"/>
      <c r="H101" s="66"/>
      <c r="I101" s="66"/>
      <c r="J101" s="66"/>
      <c r="K101" s="66"/>
      <c r="L101" s="66"/>
      <c r="M101" s="66"/>
      <c r="N101" s="66"/>
      <c r="O101" s="66"/>
      <c r="P101" s="119"/>
      <c r="Q101" s="66"/>
      <c r="R101" s="119"/>
      <c r="S101" s="66"/>
      <c r="T101" s="119"/>
      <c r="U101" s="119"/>
      <c r="V101" s="119"/>
      <c r="W101" s="119"/>
      <c r="X101" s="66"/>
      <c r="Y101" s="66"/>
      <c r="Z101" s="66"/>
      <c r="AA101" s="66"/>
      <c r="AB101" s="66"/>
      <c r="AC101" s="119"/>
      <c r="AD101" s="119"/>
      <c r="AE101" s="66"/>
      <c r="AF101" s="66"/>
      <c r="AG101" s="66"/>
      <c r="AH101" s="130"/>
      <c r="AI101" s="130"/>
    </row>
    <row r="102" ht="15.75" customHeight="1">
      <c r="A102" s="66"/>
      <c r="B102" s="134"/>
      <c r="C102" s="135"/>
      <c r="D102" s="66"/>
      <c r="E102" s="136"/>
      <c r="F102" s="136"/>
      <c r="G102" s="66"/>
      <c r="H102" s="66"/>
      <c r="I102" s="66"/>
      <c r="J102" s="66"/>
      <c r="K102" s="66"/>
      <c r="L102" s="66"/>
      <c r="M102" s="66"/>
      <c r="N102" s="66"/>
      <c r="O102" s="66"/>
      <c r="P102" s="119"/>
      <c r="Q102" s="66"/>
      <c r="R102" s="119"/>
      <c r="S102" s="66"/>
      <c r="T102" s="119"/>
      <c r="U102" s="119"/>
      <c r="V102" s="119"/>
      <c r="W102" s="119"/>
      <c r="X102" s="66"/>
      <c r="Y102" s="66"/>
      <c r="Z102" s="66"/>
      <c r="AA102" s="66"/>
      <c r="AB102" s="66"/>
      <c r="AC102" s="119"/>
      <c r="AD102" s="119"/>
      <c r="AE102" s="66"/>
      <c r="AF102" s="66"/>
      <c r="AG102" s="66"/>
      <c r="AH102" s="130"/>
      <c r="AI102" s="130"/>
    </row>
    <row r="103" ht="15.75" customHeight="1">
      <c r="A103" s="66"/>
      <c r="B103" s="134"/>
      <c r="C103" s="135"/>
      <c r="D103" s="66"/>
      <c r="E103" s="136"/>
      <c r="F103" s="136"/>
      <c r="G103" s="66"/>
      <c r="H103" s="66"/>
      <c r="I103" s="66"/>
      <c r="J103" s="66"/>
      <c r="K103" s="66"/>
      <c r="L103" s="66"/>
      <c r="M103" s="66"/>
      <c r="N103" s="66"/>
      <c r="O103" s="66"/>
      <c r="P103" s="119"/>
      <c r="Q103" s="66"/>
      <c r="R103" s="119"/>
      <c r="S103" s="66"/>
      <c r="T103" s="119"/>
      <c r="U103" s="119"/>
      <c r="V103" s="119"/>
      <c r="W103" s="119"/>
      <c r="X103" s="66"/>
      <c r="Y103" s="66"/>
      <c r="Z103" s="66"/>
      <c r="AA103" s="66"/>
      <c r="AB103" s="66"/>
      <c r="AC103" s="119"/>
      <c r="AD103" s="119"/>
      <c r="AE103" s="66"/>
      <c r="AF103" s="66"/>
      <c r="AG103" s="66"/>
      <c r="AH103" s="130"/>
      <c r="AI103" s="130"/>
    </row>
    <row r="104" ht="15.75" customHeight="1">
      <c r="A104" s="66"/>
      <c r="B104" s="134"/>
      <c r="C104" s="135"/>
      <c r="D104" s="66"/>
      <c r="E104" s="136"/>
      <c r="F104" s="136"/>
      <c r="G104" s="66"/>
      <c r="H104" s="66"/>
      <c r="I104" s="66"/>
      <c r="J104" s="66"/>
      <c r="K104" s="66"/>
      <c r="L104" s="66"/>
      <c r="M104" s="66"/>
      <c r="N104" s="66"/>
      <c r="O104" s="66"/>
      <c r="P104" s="119"/>
      <c r="Q104" s="66"/>
      <c r="R104" s="119"/>
      <c r="S104" s="66"/>
      <c r="T104" s="119"/>
      <c r="U104" s="119"/>
      <c r="V104" s="119"/>
      <c r="W104" s="119"/>
      <c r="X104" s="66"/>
      <c r="Y104" s="66"/>
      <c r="Z104" s="66"/>
      <c r="AA104" s="66"/>
      <c r="AB104" s="66"/>
      <c r="AC104" s="119"/>
      <c r="AD104" s="119"/>
      <c r="AE104" s="66"/>
      <c r="AF104" s="66"/>
      <c r="AG104" s="66"/>
      <c r="AH104" s="130"/>
      <c r="AI104" s="130"/>
    </row>
    <row r="105" ht="15.75" customHeight="1">
      <c r="A105" s="1"/>
      <c r="B105" s="137"/>
      <c r="C105" s="138"/>
      <c r="D105" s="1"/>
      <c r="E105" s="139"/>
      <c r="F105" s="139"/>
      <c r="G105" s="1"/>
      <c r="H105" s="1"/>
      <c r="I105" s="1"/>
      <c r="J105" s="1"/>
      <c r="K105" s="1"/>
      <c r="L105" s="16"/>
      <c r="M105" s="1"/>
      <c r="N105" s="1"/>
      <c r="O105" s="1"/>
      <c r="P105" s="140"/>
      <c r="Q105" s="1"/>
      <c r="R105" s="16"/>
      <c r="S105" s="1"/>
      <c r="T105" s="16"/>
      <c r="U105" s="140"/>
      <c r="V105" s="16"/>
      <c r="W105" s="16"/>
      <c r="X105" s="1"/>
      <c r="Y105" s="1"/>
      <c r="Z105" s="16"/>
      <c r="AA105" s="16"/>
      <c r="AB105" s="16"/>
      <c r="AC105" s="16"/>
      <c r="AD105" s="16"/>
      <c r="AE105" s="1"/>
      <c r="AF105" s="16"/>
      <c r="AG105" s="16"/>
      <c r="AH105" s="16"/>
      <c r="AI105" s="16"/>
    </row>
    <row r="106" ht="15.75" customHeight="1">
      <c r="A106" s="1"/>
      <c r="B106" s="1"/>
      <c r="C106" s="16"/>
      <c r="D106" s="1"/>
      <c r="E106" s="16"/>
      <c r="F106" s="16"/>
      <c r="G106" s="1"/>
      <c r="H106" s="1"/>
      <c r="I106" s="1"/>
      <c r="J106" s="1"/>
      <c r="K106" s="1"/>
      <c r="L106" s="16"/>
      <c r="M106" s="1"/>
      <c r="N106" s="1"/>
      <c r="O106" s="1"/>
      <c r="P106" s="140"/>
      <c r="Q106" s="1"/>
      <c r="R106" s="16"/>
      <c r="S106" s="1"/>
      <c r="T106" s="16"/>
      <c r="U106" s="140"/>
      <c r="V106" s="16"/>
      <c r="W106" s="16"/>
      <c r="X106" s="1"/>
      <c r="Y106" s="1"/>
      <c r="Z106" s="16"/>
      <c r="AA106" s="16"/>
      <c r="AB106" s="16"/>
      <c r="AC106" s="16"/>
      <c r="AD106" s="16"/>
      <c r="AE106" s="1"/>
      <c r="AF106" s="16"/>
      <c r="AG106" s="16"/>
      <c r="AH106" s="16"/>
      <c r="AI106" s="16"/>
    </row>
    <row r="107" ht="15.75" customHeight="1">
      <c r="A107" s="1"/>
      <c r="B107" s="1"/>
      <c r="C107" s="16"/>
      <c r="D107" s="1"/>
      <c r="E107" s="16"/>
      <c r="F107" s="16"/>
      <c r="G107" s="1"/>
      <c r="H107" s="1"/>
      <c r="I107" s="1"/>
      <c r="J107" s="1"/>
      <c r="K107" s="1"/>
      <c r="L107" s="16"/>
      <c r="M107" s="1"/>
      <c r="N107" s="1"/>
      <c r="O107" s="1"/>
      <c r="P107" s="140"/>
      <c r="Q107" s="1"/>
      <c r="R107" s="16"/>
      <c r="S107" s="1"/>
      <c r="T107" s="16"/>
      <c r="U107" s="140"/>
      <c r="V107" s="16"/>
      <c r="W107" s="16"/>
      <c r="X107" s="1"/>
      <c r="Y107" s="1"/>
      <c r="Z107" s="16"/>
      <c r="AA107" s="16"/>
      <c r="AB107" s="16"/>
      <c r="AC107" s="16"/>
      <c r="AD107" s="16"/>
      <c r="AE107" s="1"/>
      <c r="AF107" s="16"/>
      <c r="AG107" s="16"/>
      <c r="AH107" s="16"/>
      <c r="AI107" s="16"/>
    </row>
    <row r="108" ht="15.75" customHeight="1">
      <c r="A108" s="1"/>
      <c r="B108" s="1"/>
      <c r="C108" s="16"/>
      <c r="D108" s="1"/>
      <c r="E108" s="16"/>
      <c r="F108" s="16"/>
      <c r="G108" s="1"/>
      <c r="H108" s="1"/>
      <c r="I108" s="1"/>
      <c r="J108" s="1"/>
      <c r="K108" s="1"/>
      <c r="L108" s="16"/>
      <c r="M108" s="1"/>
      <c r="N108" s="1"/>
      <c r="O108" s="1"/>
      <c r="P108" s="140"/>
      <c r="Q108" s="1"/>
      <c r="R108" s="16"/>
      <c r="S108" s="1"/>
      <c r="T108" s="16"/>
      <c r="U108" s="140"/>
      <c r="V108" s="16"/>
      <c r="W108" s="16"/>
      <c r="X108" s="1"/>
      <c r="Y108" s="1"/>
      <c r="Z108" s="16"/>
      <c r="AA108" s="16"/>
      <c r="AB108" s="16"/>
      <c r="AC108" s="16"/>
      <c r="AD108" s="16"/>
      <c r="AE108" s="1"/>
      <c r="AF108" s="16"/>
      <c r="AG108" s="16"/>
      <c r="AH108" s="16"/>
      <c r="AI108" s="16"/>
    </row>
    <row r="109" ht="15.75" customHeight="1">
      <c r="A109" s="1"/>
      <c r="B109" s="1"/>
      <c r="C109" s="16"/>
      <c r="D109" s="1"/>
      <c r="E109" s="16"/>
      <c r="F109" s="16"/>
      <c r="G109" s="1"/>
      <c r="H109" s="1"/>
      <c r="I109" s="1"/>
      <c r="J109" s="1"/>
      <c r="K109" s="1"/>
      <c r="L109" s="16"/>
      <c r="M109" s="1"/>
      <c r="N109" s="1"/>
      <c r="O109" s="1"/>
      <c r="P109" s="140"/>
      <c r="Q109" s="1"/>
      <c r="R109" s="16"/>
      <c r="S109" s="1"/>
      <c r="T109" s="16"/>
      <c r="U109" s="140"/>
      <c r="V109" s="16"/>
      <c r="W109" s="16"/>
      <c r="X109" s="1"/>
      <c r="Y109" s="1"/>
      <c r="Z109" s="16"/>
      <c r="AA109" s="16"/>
      <c r="AB109" s="16"/>
      <c r="AC109" s="16"/>
      <c r="AD109" s="16"/>
      <c r="AE109" s="1"/>
      <c r="AF109" s="16"/>
      <c r="AG109" s="16"/>
      <c r="AH109" s="16"/>
      <c r="AI109" s="16"/>
    </row>
    <row r="110" ht="15.75" customHeight="1">
      <c r="A110" s="1"/>
      <c r="B110" s="1"/>
      <c r="C110" s="16"/>
      <c r="D110" s="1"/>
      <c r="E110" s="16"/>
      <c r="F110" s="16"/>
      <c r="G110" s="1"/>
      <c r="H110" s="1"/>
      <c r="I110" s="1"/>
      <c r="J110" s="1"/>
      <c r="K110" s="1"/>
      <c r="L110" s="16"/>
      <c r="M110" s="1"/>
      <c r="N110" s="1"/>
      <c r="O110" s="1"/>
      <c r="P110" s="140"/>
      <c r="Q110" s="1"/>
      <c r="R110" s="16"/>
      <c r="S110" s="1"/>
      <c r="T110" s="16"/>
      <c r="U110" s="140"/>
      <c r="V110" s="16"/>
      <c r="W110" s="16"/>
      <c r="X110" s="1"/>
      <c r="Y110" s="1"/>
      <c r="Z110" s="16"/>
      <c r="AA110" s="16"/>
      <c r="AB110" s="16"/>
      <c r="AC110" s="16"/>
      <c r="AD110" s="16"/>
      <c r="AE110" s="1"/>
      <c r="AF110" s="16"/>
      <c r="AG110" s="16"/>
      <c r="AH110" s="16"/>
      <c r="AI110" s="16"/>
    </row>
    <row r="111" ht="15.75" customHeight="1">
      <c r="A111" s="1"/>
      <c r="B111" s="1"/>
      <c r="C111" s="16"/>
      <c r="D111" s="1"/>
      <c r="E111" s="16"/>
      <c r="F111" s="16"/>
      <c r="G111" s="1"/>
      <c r="H111" s="1"/>
      <c r="I111" s="1"/>
      <c r="J111" s="1"/>
      <c r="K111" s="1"/>
      <c r="L111" s="16"/>
      <c r="M111" s="1"/>
      <c r="N111" s="1"/>
      <c r="O111" s="1"/>
      <c r="P111" s="140"/>
      <c r="Q111" s="1"/>
      <c r="R111" s="16"/>
      <c r="S111" s="1"/>
      <c r="T111" s="16"/>
      <c r="U111" s="140"/>
      <c r="V111" s="16"/>
      <c r="W111" s="16"/>
      <c r="X111" s="1"/>
      <c r="Y111" s="1"/>
      <c r="Z111" s="16"/>
      <c r="AA111" s="16"/>
      <c r="AB111" s="16"/>
      <c r="AC111" s="16"/>
      <c r="AD111" s="16"/>
      <c r="AE111" s="1"/>
      <c r="AF111" s="16"/>
      <c r="AG111" s="16"/>
      <c r="AH111" s="16"/>
      <c r="AI111" s="16"/>
    </row>
    <row r="112" ht="15.75" customHeight="1">
      <c r="A112" s="1"/>
      <c r="B112" s="1"/>
      <c r="C112" s="16"/>
      <c r="D112" s="1"/>
      <c r="E112" s="16"/>
      <c r="F112" s="16"/>
      <c r="G112" s="1"/>
      <c r="H112" s="1"/>
      <c r="I112" s="1"/>
      <c r="J112" s="1"/>
      <c r="K112" s="1"/>
      <c r="L112" s="16"/>
      <c r="M112" s="1"/>
      <c r="N112" s="1"/>
      <c r="O112" s="1"/>
      <c r="P112" s="140"/>
      <c r="Q112" s="1"/>
      <c r="R112" s="16"/>
      <c r="S112" s="1"/>
      <c r="T112" s="16"/>
      <c r="U112" s="140"/>
      <c r="V112" s="16"/>
      <c r="W112" s="16"/>
      <c r="X112" s="1"/>
      <c r="Y112" s="1"/>
      <c r="Z112" s="16"/>
      <c r="AA112" s="16"/>
      <c r="AB112" s="16"/>
      <c r="AC112" s="16"/>
      <c r="AD112" s="16"/>
      <c r="AE112" s="1"/>
      <c r="AF112" s="16"/>
      <c r="AG112" s="16"/>
      <c r="AH112" s="16"/>
      <c r="AI112" s="16"/>
    </row>
    <row r="113" ht="15.75" customHeight="1">
      <c r="A113" s="1"/>
      <c r="B113" s="1"/>
      <c r="C113" s="16"/>
      <c r="D113" s="1"/>
      <c r="E113" s="16"/>
      <c r="F113" s="16"/>
      <c r="G113" s="1"/>
      <c r="H113" s="1"/>
      <c r="I113" s="1"/>
      <c r="J113" s="1"/>
      <c r="K113" s="1"/>
      <c r="L113" s="16"/>
      <c r="M113" s="1"/>
      <c r="N113" s="1"/>
      <c r="O113" s="1"/>
      <c r="P113" s="140"/>
      <c r="Q113" s="1"/>
      <c r="R113" s="16"/>
      <c r="S113" s="1"/>
      <c r="T113" s="16"/>
      <c r="U113" s="140"/>
      <c r="V113" s="16"/>
      <c r="W113" s="16"/>
      <c r="X113" s="1"/>
      <c r="Y113" s="1"/>
      <c r="Z113" s="16"/>
      <c r="AA113" s="16"/>
      <c r="AB113" s="16"/>
      <c r="AC113" s="16"/>
      <c r="AD113" s="16"/>
      <c r="AE113" s="1"/>
      <c r="AF113" s="16"/>
      <c r="AG113" s="16"/>
      <c r="AH113" s="16"/>
      <c r="AI113" s="16"/>
    </row>
    <row r="114" ht="15.75" customHeight="1">
      <c r="A114" s="1"/>
      <c r="B114" s="1"/>
      <c r="C114" s="16"/>
      <c r="D114" s="1"/>
      <c r="E114" s="16"/>
      <c r="F114" s="16"/>
      <c r="G114" s="1"/>
      <c r="H114" s="1"/>
      <c r="I114" s="1"/>
      <c r="J114" s="1"/>
      <c r="K114" s="1"/>
      <c r="L114" s="16"/>
      <c r="M114" s="1"/>
      <c r="N114" s="1"/>
      <c r="O114" s="1"/>
      <c r="P114" s="140"/>
      <c r="Q114" s="1"/>
      <c r="R114" s="16"/>
      <c r="S114" s="1"/>
      <c r="T114" s="16"/>
      <c r="U114" s="140"/>
      <c r="V114" s="16"/>
      <c r="W114" s="16"/>
      <c r="X114" s="1"/>
      <c r="Y114" s="1"/>
      <c r="Z114" s="16"/>
      <c r="AA114" s="16"/>
      <c r="AB114" s="16"/>
      <c r="AC114" s="16"/>
      <c r="AD114" s="16"/>
      <c r="AE114" s="1"/>
      <c r="AF114" s="16"/>
      <c r="AG114" s="16"/>
      <c r="AH114" s="16"/>
      <c r="AI114" s="16"/>
    </row>
    <row r="115" ht="15.75" customHeight="1">
      <c r="A115" s="1"/>
      <c r="B115" s="1"/>
      <c r="C115" s="16"/>
      <c r="D115" s="1"/>
      <c r="E115" s="16"/>
      <c r="F115" s="16"/>
      <c r="G115" s="1"/>
      <c r="H115" s="1"/>
      <c r="I115" s="1"/>
      <c r="J115" s="1"/>
      <c r="K115" s="1"/>
      <c r="L115" s="16"/>
      <c r="M115" s="1"/>
      <c r="N115" s="1"/>
      <c r="O115" s="1"/>
      <c r="P115" s="140"/>
      <c r="Q115" s="1"/>
      <c r="R115" s="16"/>
      <c r="S115" s="1"/>
      <c r="T115" s="16"/>
      <c r="U115" s="140"/>
      <c r="V115" s="16"/>
      <c r="W115" s="16"/>
      <c r="X115" s="1"/>
      <c r="Y115" s="1"/>
      <c r="Z115" s="16"/>
      <c r="AA115" s="16"/>
      <c r="AB115" s="16"/>
      <c r="AC115" s="16"/>
      <c r="AD115" s="16"/>
      <c r="AE115" s="1"/>
      <c r="AF115" s="16"/>
      <c r="AG115" s="16"/>
      <c r="AH115" s="16"/>
      <c r="AI115" s="16"/>
    </row>
    <row r="116" ht="15.75" customHeight="1">
      <c r="A116" s="1"/>
      <c r="B116" s="1"/>
      <c r="C116" s="16"/>
      <c r="D116" s="1"/>
      <c r="E116" s="16"/>
      <c r="F116" s="16"/>
      <c r="G116" s="1"/>
      <c r="H116" s="1"/>
      <c r="I116" s="1"/>
      <c r="J116" s="1"/>
      <c r="K116" s="1"/>
      <c r="L116" s="16"/>
      <c r="M116" s="1"/>
      <c r="N116" s="1"/>
      <c r="O116" s="1"/>
      <c r="P116" s="140"/>
      <c r="Q116" s="1"/>
      <c r="R116" s="16"/>
      <c r="S116" s="1"/>
      <c r="T116" s="16"/>
      <c r="U116" s="140"/>
      <c r="V116" s="16"/>
      <c r="W116" s="16"/>
      <c r="X116" s="1"/>
      <c r="Y116" s="1"/>
      <c r="Z116" s="16"/>
      <c r="AA116" s="16"/>
      <c r="AB116" s="16"/>
      <c r="AC116" s="16"/>
      <c r="AD116" s="16"/>
      <c r="AE116" s="1"/>
      <c r="AF116" s="16"/>
      <c r="AG116" s="16"/>
      <c r="AH116" s="16"/>
      <c r="AI116" s="16"/>
    </row>
    <row r="117" ht="15.75" customHeight="1">
      <c r="A117" s="1"/>
      <c r="B117" s="1"/>
      <c r="C117" s="16"/>
      <c r="D117" s="1"/>
      <c r="E117" s="16"/>
      <c r="F117" s="16"/>
      <c r="G117" s="1"/>
      <c r="H117" s="1"/>
      <c r="I117" s="1"/>
      <c r="J117" s="1"/>
      <c r="K117" s="1"/>
      <c r="L117" s="16"/>
      <c r="M117" s="1"/>
      <c r="N117" s="1"/>
      <c r="O117" s="1"/>
      <c r="P117" s="140"/>
      <c r="Q117" s="1"/>
      <c r="R117" s="16"/>
      <c r="S117" s="1"/>
      <c r="T117" s="16"/>
      <c r="U117" s="140"/>
      <c r="V117" s="16"/>
      <c r="W117" s="16"/>
      <c r="X117" s="1"/>
      <c r="Y117" s="1"/>
      <c r="Z117" s="16"/>
      <c r="AA117" s="16"/>
      <c r="AB117" s="16"/>
      <c r="AC117" s="16"/>
      <c r="AD117" s="16"/>
      <c r="AE117" s="1"/>
      <c r="AF117" s="16"/>
      <c r="AG117" s="16"/>
      <c r="AH117" s="16"/>
      <c r="AI117" s="16"/>
    </row>
    <row r="118" ht="15.75" customHeight="1">
      <c r="A118" s="1"/>
      <c r="B118" s="1"/>
      <c r="C118" s="16"/>
      <c r="D118" s="1"/>
      <c r="E118" s="16"/>
      <c r="F118" s="16"/>
      <c r="G118" s="1"/>
      <c r="H118" s="1"/>
      <c r="I118" s="1"/>
      <c r="J118" s="1"/>
      <c r="K118" s="1"/>
      <c r="L118" s="16"/>
      <c r="M118" s="1"/>
      <c r="N118" s="1"/>
      <c r="O118" s="1"/>
      <c r="P118" s="140"/>
      <c r="Q118" s="1"/>
      <c r="R118" s="16"/>
      <c r="S118" s="1"/>
      <c r="T118" s="16"/>
      <c r="U118" s="140"/>
      <c r="V118" s="16"/>
      <c r="W118" s="16"/>
      <c r="X118" s="1"/>
      <c r="Y118" s="1"/>
      <c r="Z118" s="16"/>
      <c r="AA118" s="16"/>
      <c r="AB118" s="16"/>
      <c r="AC118" s="16"/>
      <c r="AD118" s="16"/>
      <c r="AE118" s="1"/>
      <c r="AF118" s="16"/>
      <c r="AG118" s="16"/>
      <c r="AH118" s="16"/>
      <c r="AI118" s="16"/>
    </row>
    <row r="119" ht="15.75" customHeight="1">
      <c r="A119" s="1"/>
      <c r="B119" s="1"/>
      <c r="C119" s="16"/>
      <c r="D119" s="1"/>
      <c r="E119" s="16"/>
      <c r="F119" s="16"/>
      <c r="G119" s="1"/>
      <c r="H119" s="1"/>
      <c r="I119" s="1"/>
      <c r="J119" s="1"/>
      <c r="K119" s="1"/>
      <c r="L119" s="16"/>
      <c r="M119" s="1"/>
      <c r="N119" s="1"/>
      <c r="O119" s="1"/>
      <c r="P119" s="140"/>
      <c r="Q119" s="1"/>
      <c r="R119" s="16"/>
      <c r="S119" s="1"/>
      <c r="T119" s="16"/>
      <c r="U119" s="140"/>
      <c r="V119" s="16"/>
      <c r="W119" s="16"/>
      <c r="X119" s="1"/>
      <c r="Y119" s="1"/>
      <c r="Z119" s="16"/>
      <c r="AA119" s="16"/>
      <c r="AB119" s="16"/>
      <c r="AC119" s="16"/>
      <c r="AD119" s="16"/>
      <c r="AE119" s="1"/>
      <c r="AF119" s="16"/>
      <c r="AG119" s="16"/>
      <c r="AH119" s="16"/>
      <c r="AI119" s="16"/>
    </row>
    <row r="120" ht="15.75" customHeight="1">
      <c r="A120" s="1"/>
      <c r="B120" s="1"/>
      <c r="C120" s="16"/>
      <c r="D120" s="1"/>
      <c r="E120" s="16"/>
      <c r="F120" s="16"/>
      <c r="G120" s="1"/>
      <c r="H120" s="1"/>
      <c r="I120" s="1"/>
      <c r="J120" s="1"/>
      <c r="K120" s="1"/>
      <c r="L120" s="16"/>
      <c r="M120" s="1"/>
      <c r="N120" s="1"/>
      <c r="O120" s="1"/>
      <c r="P120" s="140"/>
      <c r="Q120" s="1"/>
      <c r="R120" s="16"/>
      <c r="S120" s="1"/>
      <c r="T120" s="16"/>
      <c r="U120" s="140"/>
      <c r="V120" s="16"/>
      <c r="W120" s="16"/>
      <c r="X120" s="1"/>
      <c r="Y120" s="1"/>
      <c r="Z120" s="16"/>
      <c r="AA120" s="16"/>
      <c r="AB120" s="16"/>
      <c r="AC120" s="16"/>
      <c r="AD120" s="16"/>
      <c r="AE120" s="1"/>
      <c r="AF120" s="16"/>
      <c r="AG120" s="16"/>
      <c r="AH120" s="16"/>
      <c r="AI120" s="16"/>
    </row>
    <row r="121" ht="15.75" customHeight="1">
      <c r="A121" s="1"/>
      <c r="B121" s="1"/>
      <c r="C121" s="16"/>
      <c r="D121" s="1"/>
      <c r="E121" s="16"/>
      <c r="F121" s="16"/>
      <c r="G121" s="1"/>
      <c r="H121" s="1"/>
      <c r="I121" s="1"/>
      <c r="J121" s="1"/>
      <c r="K121" s="1"/>
      <c r="L121" s="16"/>
      <c r="M121" s="1"/>
      <c r="N121" s="1"/>
      <c r="O121" s="1"/>
      <c r="P121" s="140"/>
      <c r="Q121" s="1"/>
      <c r="R121" s="16"/>
      <c r="S121" s="1"/>
      <c r="T121" s="16"/>
      <c r="U121" s="140"/>
      <c r="V121" s="16"/>
      <c r="W121" s="16"/>
      <c r="X121" s="1"/>
      <c r="Y121" s="1"/>
      <c r="Z121" s="16"/>
      <c r="AA121" s="16"/>
      <c r="AB121" s="16"/>
      <c r="AC121" s="16"/>
      <c r="AD121" s="16"/>
      <c r="AE121" s="1"/>
      <c r="AF121" s="16"/>
      <c r="AG121" s="16"/>
      <c r="AH121" s="16"/>
      <c r="AI121" s="16"/>
    </row>
    <row r="122" ht="15.75" customHeight="1">
      <c r="A122" s="1"/>
      <c r="B122" s="1"/>
      <c r="C122" s="16"/>
      <c r="D122" s="1"/>
      <c r="E122" s="16"/>
      <c r="F122" s="16"/>
      <c r="G122" s="1"/>
      <c r="H122" s="1"/>
      <c r="I122" s="1"/>
      <c r="J122" s="1"/>
      <c r="K122" s="1"/>
      <c r="L122" s="16"/>
      <c r="M122" s="1"/>
      <c r="N122" s="1"/>
      <c r="O122" s="1"/>
      <c r="P122" s="140"/>
      <c r="Q122" s="1"/>
      <c r="R122" s="16"/>
      <c r="S122" s="1"/>
      <c r="T122" s="16"/>
      <c r="U122" s="140"/>
      <c r="V122" s="16"/>
      <c r="W122" s="16"/>
      <c r="X122" s="1"/>
      <c r="Y122" s="1"/>
      <c r="Z122" s="16"/>
      <c r="AA122" s="16"/>
      <c r="AB122" s="16"/>
      <c r="AC122" s="16"/>
      <c r="AD122" s="16"/>
      <c r="AE122" s="1"/>
      <c r="AF122" s="16"/>
      <c r="AG122" s="16"/>
      <c r="AH122" s="16"/>
      <c r="AI122" s="16"/>
    </row>
    <row r="123" ht="15.75" customHeight="1">
      <c r="A123" s="1"/>
      <c r="B123" s="1"/>
      <c r="C123" s="16"/>
      <c r="D123" s="1"/>
      <c r="E123" s="16"/>
      <c r="F123" s="16"/>
      <c r="G123" s="1"/>
      <c r="H123" s="1"/>
      <c r="I123" s="1"/>
      <c r="J123" s="1"/>
      <c r="K123" s="1"/>
      <c r="L123" s="16"/>
      <c r="M123" s="1"/>
      <c r="N123" s="1"/>
      <c r="O123" s="1"/>
      <c r="P123" s="140"/>
      <c r="Q123" s="1"/>
      <c r="R123" s="16"/>
      <c r="S123" s="1"/>
      <c r="T123" s="16"/>
      <c r="U123" s="140"/>
      <c r="V123" s="16"/>
      <c r="W123" s="16"/>
      <c r="X123" s="1"/>
      <c r="Y123" s="1"/>
      <c r="Z123" s="16"/>
      <c r="AA123" s="16"/>
      <c r="AB123" s="16"/>
      <c r="AC123" s="16"/>
      <c r="AD123" s="16"/>
      <c r="AE123" s="1"/>
      <c r="AF123" s="16"/>
      <c r="AG123" s="16"/>
      <c r="AH123" s="16"/>
      <c r="AI123" s="16"/>
    </row>
    <row r="124" ht="15.75" customHeight="1">
      <c r="A124" s="1"/>
      <c r="B124" s="1"/>
      <c r="C124" s="16"/>
      <c r="D124" s="1"/>
      <c r="E124" s="16"/>
      <c r="F124" s="16"/>
      <c r="G124" s="1"/>
      <c r="H124" s="1"/>
      <c r="I124" s="1"/>
      <c r="J124" s="1"/>
      <c r="K124" s="1"/>
      <c r="L124" s="16"/>
      <c r="M124" s="1"/>
      <c r="N124" s="1"/>
      <c r="O124" s="1"/>
      <c r="P124" s="140"/>
      <c r="Q124" s="1"/>
      <c r="R124" s="16"/>
      <c r="S124" s="1"/>
      <c r="T124" s="16"/>
      <c r="U124" s="140"/>
      <c r="V124" s="16"/>
      <c r="W124" s="16"/>
      <c r="X124" s="1"/>
      <c r="Y124" s="1"/>
      <c r="Z124" s="16"/>
      <c r="AA124" s="16"/>
      <c r="AB124" s="16"/>
      <c r="AC124" s="16"/>
      <c r="AD124" s="16"/>
      <c r="AE124" s="1"/>
      <c r="AF124" s="16"/>
      <c r="AG124" s="16"/>
      <c r="AH124" s="16"/>
      <c r="AI124" s="16"/>
    </row>
    <row r="125" ht="15.75" customHeight="1">
      <c r="A125" s="1"/>
      <c r="B125" s="1"/>
      <c r="C125" s="16"/>
      <c r="D125" s="1"/>
      <c r="E125" s="16"/>
      <c r="F125" s="16"/>
      <c r="G125" s="1"/>
      <c r="H125" s="1"/>
      <c r="I125" s="1"/>
      <c r="J125" s="1"/>
      <c r="K125" s="1"/>
      <c r="L125" s="16"/>
      <c r="M125" s="1"/>
      <c r="N125" s="1"/>
      <c r="O125" s="1"/>
      <c r="P125" s="140"/>
      <c r="Q125" s="1"/>
      <c r="R125" s="16"/>
      <c r="S125" s="1"/>
      <c r="T125" s="16"/>
      <c r="U125" s="140"/>
      <c r="V125" s="16"/>
      <c r="W125" s="16"/>
      <c r="X125" s="1"/>
      <c r="Y125" s="1"/>
      <c r="Z125" s="16"/>
      <c r="AA125" s="16"/>
      <c r="AB125" s="16"/>
      <c r="AC125" s="16"/>
      <c r="AD125" s="16"/>
      <c r="AE125" s="1"/>
      <c r="AF125" s="16"/>
      <c r="AG125" s="16"/>
      <c r="AH125" s="16"/>
      <c r="AI125" s="16"/>
    </row>
    <row r="126" ht="15.75" customHeight="1">
      <c r="A126" s="1"/>
      <c r="B126" s="1"/>
      <c r="C126" s="16"/>
      <c r="D126" s="1"/>
      <c r="E126" s="16"/>
      <c r="F126" s="16"/>
      <c r="G126" s="1"/>
      <c r="H126" s="1"/>
      <c r="I126" s="1"/>
      <c r="J126" s="1"/>
      <c r="K126" s="1"/>
      <c r="L126" s="16"/>
      <c r="M126" s="1"/>
      <c r="N126" s="1"/>
      <c r="O126" s="1"/>
      <c r="P126" s="140"/>
      <c r="Q126" s="1"/>
      <c r="R126" s="16"/>
      <c r="S126" s="1"/>
      <c r="T126" s="16"/>
      <c r="U126" s="140"/>
      <c r="V126" s="16"/>
      <c r="W126" s="16"/>
      <c r="X126" s="1"/>
      <c r="Y126" s="1"/>
      <c r="Z126" s="16"/>
      <c r="AA126" s="16"/>
      <c r="AB126" s="16"/>
      <c r="AC126" s="16"/>
      <c r="AD126" s="16"/>
      <c r="AE126" s="1"/>
      <c r="AF126" s="16"/>
      <c r="AG126" s="16"/>
      <c r="AH126" s="16"/>
      <c r="AI126" s="16"/>
    </row>
    <row r="127" ht="15.75" customHeight="1">
      <c r="A127" s="1"/>
      <c r="B127" s="1"/>
      <c r="C127" s="16"/>
      <c r="D127" s="1"/>
      <c r="E127" s="16"/>
      <c r="F127" s="16"/>
      <c r="G127" s="1"/>
      <c r="H127" s="1"/>
      <c r="I127" s="1"/>
      <c r="J127" s="1"/>
      <c r="K127" s="1"/>
      <c r="L127" s="16"/>
      <c r="M127" s="1"/>
      <c r="N127" s="1"/>
      <c r="O127" s="1"/>
      <c r="P127" s="140"/>
      <c r="Q127" s="1"/>
      <c r="R127" s="16"/>
      <c r="S127" s="1"/>
      <c r="T127" s="16"/>
      <c r="U127" s="140"/>
      <c r="V127" s="16"/>
      <c r="W127" s="16"/>
      <c r="X127" s="1"/>
      <c r="Y127" s="1"/>
      <c r="Z127" s="16"/>
      <c r="AA127" s="16"/>
      <c r="AB127" s="16"/>
      <c r="AC127" s="16"/>
      <c r="AD127" s="16"/>
      <c r="AE127" s="1"/>
      <c r="AF127" s="16"/>
      <c r="AG127" s="16"/>
      <c r="AH127" s="16"/>
      <c r="AI127" s="16"/>
    </row>
    <row r="128" ht="15.75" customHeight="1">
      <c r="A128" s="1"/>
      <c r="B128" s="1"/>
      <c r="C128" s="16"/>
      <c r="D128" s="1"/>
      <c r="E128" s="16"/>
      <c r="F128" s="16"/>
      <c r="G128" s="1"/>
      <c r="H128" s="1"/>
      <c r="I128" s="1"/>
      <c r="J128" s="1"/>
      <c r="K128" s="1"/>
      <c r="L128" s="16"/>
      <c r="M128" s="1"/>
      <c r="N128" s="1"/>
      <c r="O128" s="1"/>
      <c r="P128" s="140"/>
      <c r="Q128" s="1"/>
      <c r="R128" s="16"/>
      <c r="S128" s="1"/>
      <c r="T128" s="16"/>
      <c r="U128" s="140"/>
      <c r="V128" s="16"/>
      <c r="W128" s="16"/>
      <c r="X128" s="1"/>
      <c r="Y128" s="1"/>
      <c r="Z128" s="16"/>
      <c r="AA128" s="16"/>
      <c r="AB128" s="16"/>
      <c r="AC128" s="16"/>
      <c r="AD128" s="16"/>
      <c r="AE128" s="1"/>
      <c r="AF128" s="16"/>
      <c r="AG128" s="16"/>
      <c r="AH128" s="16"/>
      <c r="AI128" s="16"/>
    </row>
    <row r="129" ht="15.75" customHeight="1">
      <c r="A129" s="1"/>
      <c r="B129" s="1"/>
      <c r="C129" s="16"/>
      <c r="D129" s="1"/>
      <c r="E129" s="16"/>
      <c r="F129" s="16"/>
      <c r="G129" s="1"/>
      <c r="H129" s="1"/>
      <c r="I129" s="1"/>
      <c r="J129" s="1"/>
      <c r="K129" s="1"/>
      <c r="L129" s="16"/>
      <c r="M129" s="1"/>
      <c r="N129" s="1"/>
      <c r="O129" s="1"/>
      <c r="P129" s="140"/>
      <c r="Q129" s="1"/>
      <c r="R129" s="16"/>
      <c r="S129" s="1"/>
      <c r="T129" s="16"/>
      <c r="U129" s="140"/>
      <c r="V129" s="16"/>
      <c r="W129" s="16"/>
      <c r="X129" s="1"/>
      <c r="Y129" s="1"/>
      <c r="Z129" s="16"/>
      <c r="AA129" s="16"/>
      <c r="AB129" s="16"/>
      <c r="AC129" s="16"/>
      <c r="AD129" s="16"/>
      <c r="AE129" s="1"/>
      <c r="AF129" s="16"/>
      <c r="AG129" s="16"/>
      <c r="AH129" s="16"/>
      <c r="AI129" s="16"/>
    </row>
    <row r="130" ht="15.75" customHeight="1">
      <c r="A130" s="1"/>
      <c r="B130" s="1"/>
      <c r="C130" s="16"/>
      <c r="D130" s="1"/>
      <c r="E130" s="16"/>
      <c r="F130" s="16"/>
      <c r="G130" s="1"/>
      <c r="H130" s="1"/>
      <c r="I130" s="1"/>
      <c r="J130" s="1"/>
      <c r="K130" s="1"/>
      <c r="L130" s="16"/>
      <c r="M130" s="1"/>
      <c r="N130" s="1"/>
      <c r="O130" s="1"/>
      <c r="P130" s="140"/>
      <c r="Q130" s="1"/>
      <c r="R130" s="16"/>
      <c r="S130" s="1"/>
      <c r="T130" s="16"/>
      <c r="U130" s="140"/>
      <c r="V130" s="16"/>
      <c r="W130" s="16"/>
      <c r="X130" s="1"/>
      <c r="Y130" s="1"/>
      <c r="Z130" s="16"/>
      <c r="AA130" s="16"/>
      <c r="AB130" s="16"/>
      <c r="AC130" s="16"/>
      <c r="AD130" s="16"/>
      <c r="AE130" s="1"/>
      <c r="AF130" s="16"/>
      <c r="AG130" s="16"/>
      <c r="AH130" s="16"/>
      <c r="AI130" s="16"/>
    </row>
    <row r="131" ht="15.75" customHeight="1">
      <c r="A131" s="1"/>
      <c r="B131" s="1"/>
      <c r="C131" s="16"/>
      <c r="D131" s="1"/>
      <c r="E131" s="16"/>
      <c r="F131" s="16"/>
      <c r="G131" s="1"/>
      <c r="H131" s="1"/>
      <c r="I131" s="1"/>
      <c r="J131" s="1"/>
      <c r="K131" s="1"/>
      <c r="L131" s="16"/>
      <c r="M131" s="1"/>
      <c r="N131" s="1"/>
      <c r="O131" s="1"/>
      <c r="P131" s="140"/>
      <c r="Q131" s="1"/>
      <c r="R131" s="16"/>
      <c r="S131" s="1"/>
      <c r="T131" s="16"/>
      <c r="U131" s="140"/>
      <c r="V131" s="16"/>
      <c r="W131" s="16"/>
      <c r="X131" s="1"/>
      <c r="Y131" s="1"/>
      <c r="Z131" s="16"/>
      <c r="AA131" s="16"/>
      <c r="AB131" s="16"/>
      <c r="AC131" s="16"/>
      <c r="AD131" s="16"/>
      <c r="AE131" s="1"/>
      <c r="AF131" s="16"/>
      <c r="AG131" s="16"/>
      <c r="AH131" s="16"/>
      <c r="AI131" s="16"/>
    </row>
    <row r="132" ht="15.75" customHeight="1">
      <c r="A132" s="1"/>
      <c r="B132" s="1"/>
      <c r="C132" s="16"/>
      <c r="D132" s="1"/>
      <c r="E132" s="16"/>
      <c r="F132" s="16"/>
      <c r="G132" s="1"/>
      <c r="H132" s="1"/>
      <c r="I132" s="1"/>
      <c r="J132" s="1"/>
      <c r="K132" s="1"/>
      <c r="L132" s="16"/>
      <c r="M132" s="1"/>
      <c r="N132" s="1"/>
      <c r="O132" s="1"/>
      <c r="P132" s="140"/>
      <c r="Q132" s="1"/>
      <c r="R132" s="16"/>
      <c r="S132" s="1"/>
      <c r="T132" s="16"/>
      <c r="U132" s="140"/>
      <c r="V132" s="16"/>
      <c r="W132" s="16"/>
      <c r="X132" s="1"/>
      <c r="Y132" s="1"/>
      <c r="Z132" s="16"/>
      <c r="AA132" s="16"/>
      <c r="AB132" s="16"/>
      <c r="AC132" s="16"/>
      <c r="AD132" s="16"/>
      <c r="AE132" s="1"/>
      <c r="AF132" s="16"/>
      <c r="AG132" s="16"/>
      <c r="AH132" s="16"/>
      <c r="AI132" s="16"/>
    </row>
    <row r="133" ht="15.75" customHeight="1">
      <c r="A133" s="1"/>
      <c r="B133" s="1"/>
      <c r="C133" s="16"/>
      <c r="D133" s="1"/>
      <c r="E133" s="16"/>
      <c r="F133" s="16"/>
      <c r="G133" s="1"/>
      <c r="H133" s="1"/>
      <c r="I133" s="1"/>
      <c r="J133" s="1"/>
      <c r="K133" s="1"/>
      <c r="L133" s="16"/>
      <c r="M133" s="1"/>
      <c r="N133" s="1"/>
      <c r="O133" s="1"/>
      <c r="P133" s="140"/>
      <c r="Q133" s="1"/>
      <c r="R133" s="16"/>
      <c r="S133" s="1"/>
      <c r="T133" s="16"/>
      <c r="U133" s="140"/>
      <c r="V133" s="16"/>
      <c r="W133" s="16"/>
      <c r="X133" s="1"/>
      <c r="Y133" s="1"/>
      <c r="Z133" s="16"/>
      <c r="AA133" s="16"/>
      <c r="AB133" s="16"/>
      <c r="AC133" s="16"/>
      <c r="AD133" s="16"/>
      <c r="AE133" s="1"/>
      <c r="AF133" s="16"/>
      <c r="AG133" s="16"/>
      <c r="AH133" s="16"/>
      <c r="AI133" s="16"/>
    </row>
    <row r="134" ht="15.75" customHeight="1">
      <c r="A134" s="1"/>
      <c r="B134" s="1"/>
      <c r="C134" s="16"/>
      <c r="D134" s="1"/>
      <c r="E134" s="16"/>
      <c r="F134" s="16"/>
      <c r="G134" s="1"/>
      <c r="H134" s="1"/>
      <c r="I134" s="1"/>
      <c r="J134" s="1"/>
      <c r="K134" s="1"/>
      <c r="L134" s="16"/>
      <c r="M134" s="1"/>
      <c r="N134" s="1"/>
      <c r="O134" s="1"/>
      <c r="P134" s="140"/>
      <c r="Q134" s="1"/>
      <c r="R134" s="16"/>
      <c r="S134" s="1"/>
      <c r="T134" s="16"/>
      <c r="U134" s="140"/>
      <c r="V134" s="16"/>
      <c r="W134" s="16"/>
      <c r="X134" s="1"/>
      <c r="Y134" s="1"/>
      <c r="Z134" s="16"/>
      <c r="AA134" s="16"/>
      <c r="AB134" s="16"/>
      <c r="AC134" s="16"/>
      <c r="AD134" s="16"/>
      <c r="AE134" s="1"/>
      <c r="AF134" s="16"/>
      <c r="AG134" s="16"/>
      <c r="AH134" s="16"/>
      <c r="AI134" s="16"/>
    </row>
    <row r="135" ht="15.75" customHeight="1">
      <c r="A135" s="1"/>
      <c r="B135" s="1"/>
      <c r="C135" s="16"/>
      <c r="D135" s="1"/>
      <c r="E135" s="16"/>
      <c r="F135" s="16"/>
      <c r="G135" s="1"/>
      <c r="H135" s="1"/>
      <c r="I135" s="1"/>
      <c r="J135" s="1"/>
      <c r="K135" s="1"/>
      <c r="L135" s="16"/>
      <c r="M135" s="1"/>
      <c r="N135" s="1"/>
      <c r="O135" s="1"/>
      <c r="P135" s="140"/>
      <c r="Q135" s="1"/>
      <c r="R135" s="16"/>
      <c r="S135" s="1"/>
      <c r="T135" s="16"/>
      <c r="U135" s="140"/>
      <c r="V135" s="16"/>
      <c r="W135" s="16"/>
      <c r="X135" s="1"/>
      <c r="Y135" s="1"/>
      <c r="Z135" s="16"/>
      <c r="AA135" s="16"/>
      <c r="AB135" s="16"/>
      <c r="AC135" s="16"/>
      <c r="AD135" s="16"/>
      <c r="AE135" s="1"/>
      <c r="AF135" s="16"/>
      <c r="AG135" s="16"/>
      <c r="AH135" s="16"/>
      <c r="AI135" s="16"/>
    </row>
    <row r="136" ht="15.75" customHeight="1">
      <c r="A136" s="1"/>
      <c r="B136" s="1"/>
      <c r="C136" s="16"/>
      <c r="D136" s="1"/>
      <c r="E136" s="16"/>
      <c r="F136" s="16"/>
      <c r="G136" s="1"/>
      <c r="H136" s="1"/>
      <c r="I136" s="1"/>
      <c r="J136" s="1"/>
      <c r="K136" s="1"/>
      <c r="L136" s="16"/>
      <c r="M136" s="1"/>
      <c r="N136" s="1"/>
      <c r="O136" s="1"/>
      <c r="P136" s="140"/>
      <c r="Q136" s="1"/>
      <c r="R136" s="16"/>
      <c r="S136" s="1"/>
      <c r="T136" s="16"/>
      <c r="U136" s="140"/>
      <c r="V136" s="16"/>
      <c r="W136" s="16"/>
      <c r="X136" s="1"/>
      <c r="Y136" s="1"/>
      <c r="Z136" s="16"/>
      <c r="AA136" s="16"/>
      <c r="AB136" s="16"/>
      <c r="AC136" s="16"/>
      <c r="AD136" s="16"/>
      <c r="AE136" s="1"/>
      <c r="AF136" s="16"/>
      <c r="AG136" s="16"/>
      <c r="AH136" s="16"/>
      <c r="AI136" s="16"/>
    </row>
    <row r="137" ht="15.75" customHeight="1">
      <c r="A137" s="1"/>
      <c r="B137" s="1"/>
      <c r="C137" s="16"/>
      <c r="D137" s="1"/>
      <c r="E137" s="16"/>
      <c r="F137" s="16"/>
      <c r="G137" s="1"/>
      <c r="H137" s="1"/>
      <c r="I137" s="1"/>
      <c r="J137" s="1"/>
      <c r="K137" s="1"/>
      <c r="L137" s="16"/>
      <c r="M137" s="1"/>
      <c r="N137" s="1"/>
      <c r="O137" s="1"/>
      <c r="P137" s="140"/>
      <c r="Q137" s="1"/>
      <c r="R137" s="16"/>
      <c r="S137" s="1"/>
      <c r="T137" s="16"/>
      <c r="U137" s="140"/>
      <c r="V137" s="16"/>
      <c r="W137" s="16"/>
      <c r="X137" s="1"/>
      <c r="Y137" s="1"/>
      <c r="Z137" s="16"/>
      <c r="AA137" s="16"/>
      <c r="AB137" s="16"/>
      <c r="AC137" s="16"/>
      <c r="AD137" s="16"/>
      <c r="AE137" s="1"/>
      <c r="AF137" s="16"/>
      <c r="AG137" s="16"/>
      <c r="AH137" s="16"/>
      <c r="AI137" s="16"/>
    </row>
    <row r="138" ht="15.75" customHeight="1">
      <c r="A138" s="1"/>
      <c r="B138" s="1"/>
      <c r="C138" s="16"/>
      <c r="D138" s="1"/>
      <c r="E138" s="16"/>
      <c r="F138" s="16"/>
      <c r="G138" s="1"/>
      <c r="H138" s="1"/>
      <c r="I138" s="1"/>
      <c r="J138" s="1"/>
      <c r="K138" s="1"/>
      <c r="L138" s="16"/>
      <c r="M138" s="1"/>
      <c r="N138" s="1"/>
      <c r="O138" s="1"/>
      <c r="P138" s="140"/>
      <c r="Q138" s="1"/>
      <c r="R138" s="16"/>
      <c r="S138" s="1"/>
      <c r="T138" s="16"/>
      <c r="U138" s="140"/>
      <c r="V138" s="16"/>
      <c r="W138" s="16"/>
      <c r="X138" s="1"/>
      <c r="Y138" s="1"/>
      <c r="Z138" s="16"/>
      <c r="AA138" s="16"/>
      <c r="AB138" s="16"/>
      <c r="AC138" s="16"/>
      <c r="AD138" s="16"/>
      <c r="AE138" s="1"/>
      <c r="AF138" s="16"/>
      <c r="AG138" s="16"/>
      <c r="AH138" s="16"/>
      <c r="AI138" s="16"/>
    </row>
    <row r="139" ht="15.75" customHeight="1">
      <c r="A139" s="1"/>
      <c r="B139" s="1"/>
      <c r="C139" s="16"/>
      <c r="D139" s="1"/>
      <c r="E139" s="16"/>
      <c r="F139" s="16"/>
      <c r="G139" s="1"/>
      <c r="H139" s="1"/>
      <c r="I139" s="1"/>
      <c r="J139" s="1"/>
      <c r="K139" s="1"/>
      <c r="L139" s="16"/>
      <c r="M139" s="1"/>
      <c r="N139" s="1"/>
      <c r="O139" s="1"/>
      <c r="P139" s="140"/>
      <c r="Q139" s="1"/>
      <c r="R139" s="16"/>
      <c r="S139" s="1"/>
      <c r="T139" s="16"/>
      <c r="U139" s="140"/>
      <c r="V139" s="16"/>
      <c r="W139" s="16"/>
      <c r="X139" s="1"/>
      <c r="Y139" s="1"/>
      <c r="Z139" s="16"/>
      <c r="AA139" s="16"/>
      <c r="AB139" s="16"/>
      <c r="AC139" s="16"/>
      <c r="AD139" s="16"/>
      <c r="AE139" s="1"/>
      <c r="AF139" s="16"/>
      <c r="AG139" s="16"/>
      <c r="AH139" s="16"/>
      <c r="AI139" s="16"/>
    </row>
    <row r="140" ht="15.75" customHeight="1">
      <c r="A140" s="1"/>
      <c r="B140" s="1"/>
      <c r="C140" s="16"/>
      <c r="D140" s="1"/>
      <c r="E140" s="16"/>
      <c r="F140" s="16"/>
      <c r="G140" s="1"/>
      <c r="H140" s="1"/>
      <c r="I140" s="1"/>
      <c r="J140" s="1"/>
      <c r="K140" s="1"/>
      <c r="L140" s="16"/>
      <c r="M140" s="1"/>
      <c r="N140" s="1"/>
      <c r="O140" s="1"/>
      <c r="P140" s="140"/>
      <c r="Q140" s="1"/>
      <c r="R140" s="16"/>
      <c r="S140" s="1"/>
      <c r="T140" s="16"/>
      <c r="U140" s="140"/>
      <c r="V140" s="16"/>
      <c r="W140" s="16"/>
      <c r="X140" s="1"/>
      <c r="Y140" s="1"/>
      <c r="Z140" s="16"/>
      <c r="AA140" s="16"/>
      <c r="AB140" s="16"/>
      <c r="AC140" s="16"/>
      <c r="AD140" s="16"/>
      <c r="AE140" s="1"/>
      <c r="AF140" s="16"/>
      <c r="AG140" s="16"/>
      <c r="AH140" s="16"/>
      <c r="AI140" s="16"/>
    </row>
    <row r="141" ht="15.75" customHeight="1">
      <c r="A141" s="1"/>
      <c r="B141" s="1"/>
      <c r="C141" s="16"/>
      <c r="D141" s="1"/>
      <c r="E141" s="16"/>
      <c r="F141" s="16"/>
      <c r="G141" s="1"/>
      <c r="H141" s="1"/>
      <c r="I141" s="1"/>
      <c r="J141" s="1"/>
      <c r="K141" s="1"/>
      <c r="L141" s="16"/>
      <c r="M141" s="1"/>
      <c r="N141" s="1"/>
      <c r="O141" s="1"/>
      <c r="P141" s="140"/>
      <c r="Q141" s="1"/>
      <c r="R141" s="16"/>
      <c r="S141" s="1"/>
      <c r="T141" s="16"/>
      <c r="U141" s="140"/>
      <c r="V141" s="16"/>
      <c r="W141" s="16"/>
      <c r="X141" s="1"/>
      <c r="Y141" s="1"/>
      <c r="Z141" s="16"/>
      <c r="AA141" s="16"/>
      <c r="AB141" s="16"/>
      <c r="AC141" s="16"/>
      <c r="AD141" s="16"/>
      <c r="AE141" s="1"/>
      <c r="AF141" s="16"/>
      <c r="AG141" s="16"/>
      <c r="AH141" s="16"/>
      <c r="AI141" s="16"/>
    </row>
    <row r="142" ht="15.75" customHeight="1">
      <c r="A142" s="1"/>
      <c r="B142" s="1"/>
      <c r="C142" s="16"/>
      <c r="D142" s="1"/>
      <c r="E142" s="16"/>
      <c r="F142" s="16"/>
      <c r="G142" s="1"/>
      <c r="H142" s="1"/>
      <c r="I142" s="1"/>
      <c r="J142" s="1"/>
      <c r="K142" s="1"/>
      <c r="L142" s="16"/>
      <c r="M142" s="1"/>
      <c r="N142" s="1"/>
      <c r="O142" s="1"/>
      <c r="P142" s="140"/>
      <c r="Q142" s="1"/>
      <c r="R142" s="16"/>
      <c r="S142" s="1"/>
      <c r="T142" s="16"/>
      <c r="U142" s="140"/>
      <c r="V142" s="16"/>
      <c r="W142" s="16"/>
      <c r="X142" s="1"/>
      <c r="Y142" s="1"/>
      <c r="Z142" s="16"/>
      <c r="AA142" s="16"/>
      <c r="AB142" s="16"/>
      <c r="AC142" s="16"/>
      <c r="AD142" s="16"/>
      <c r="AE142" s="1"/>
      <c r="AF142" s="16"/>
      <c r="AG142" s="16"/>
      <c r="AH142" s="16"/>
      <c r="AI142" s="16"/>
    </row>
    <row r="143" ht="15.75" customHeight="1">
      <c r="A143" s="1"/>
      <c r="B143" s="1"/>
      <c r="C143" s="16"/>
      <c r="D143" s="1"/>
      <c r="E143" s="16"/>
      <c r="F143" s="16"/>
      <c r="G143" s="1"/>
      <c r="H143" s="1"/>
      <c r="I143" s="1"/>
      <c r="J143" s="1"/>
      <c r="K143" s="1"/>
      <c r="L143" s="16"/>
      <c r="M143" s="1"/>
      <c r="N143" s="1"/>
      <c r="O143" s="1"/>
      <c r="P143" s="140"/>
      <c r="Q143" s="1"/>
      <c r="R143" s="16"/>
      <c r="S143" s="1"/>
      <c r="T143" s="16"/>
      <c r="U143" s="140"/>
      <c r="V143" s="16"/>
      <c r="W143" s="16"/>
      <c r="X143" s="1"/>
      <c r="Y143" s="1"/>
      <c r="Z143" s="16"/>
      <c r="AA143" s="16"/>
      <c r="AB143" s="16"/>
      <c r="AC143" s="16"/>
      <c r="AD143" s="16"/>
      <c r="AE143" s="1"/>
      <c r="AF143" s="16"/>
      <c r="AG143" s="16"/>
      <c r="AH143" s="16"/>
      <c r="AI143" s="16"/>
    </row>
    <row r="144" ht="15.75" customHeight="1">
      <c r="A144" s="1"/>
      <c r="B144" s="1"/>
      <c r="C144" s="16"/>
      <c r="D144" s="1"/>
      <c r="E144" s="16"/>
      <c r="F144" s="16"/>
      <c r="G144" s="1"/>
      <c r="H144" s="1"/>
      <c r="I144" s="1"/>
      <c r="J144" s="1"/>
      <c r="K144" s="1"/>
      <c r="L144" s="16"/>
      <c r="M144" s="1"/>
      <c r="N144" s="1"/>
      <c r="O144" s="1"/>
      <c r="P144" s="140"/>
      <c r="Q144" s="1"/>
      <c r="R144" s="16"/>
      <c r="S144" s="1"/>
      <c r="T144" s="16"/>
      <c r="U144" s="140"/>
      <c r="V144" s="16"/>
      <c r="W144" s="16"/>
      <c r="X144" s="1"/>
      <c r="Y144" s="1"/>
      <c r="Z144" s="16"/>
      <c r="AA144" s="16"/>
      <c r="AB144" s="16"/>
      <c r="AC144" s="16"/>
      <c r="AD144" s="16"/>
      <c r="AE144" s="1"/>
      <c r="AF144" s="16"/>
      <c r="AG144" s="16"/>
      <c r="AH144" s="16"/>
      <c r="AI144" s="16"/>
    </row>
    <row r="145" ht="15.75" customHeight="1">
      <c r="A145" s="1"/>
      <c r="B145" s="1"/>
      <c r="C145" s="16"/>
      <c r="D145" s="1"/>
      <c r="E145" s="16"/>
      <c r="F145" s="16"/>
      <c r="G145" s="1"/>
      <c r="H145" s="1"/>
      <c r="I145" s="1"/>
      <c r="J145" s="1"/>
      <c r="K145" s="1"/>
      <c r="L145" s="16"/>
      <c r="M145" s="1"/>
      <c r="N145" s="1"/>
      <c r="O145" s="1"/>
      <c r="P145" s="140"/>
      <c r="Q145" s="1"/>
      <c r="R145" s="16"/>
      <c r="S145" s="1"/>
      <c r="T145" s="16"/>
      <c r="U145" s="140"/>
      <c r="V145" s="16"/>
      <c r="W145" s="16"/>
      <c r="X145" s="1"/>
      <c r="Y145" s="1"/>
      <c r="Z145" s="16"/>
      <c r="AA145" s="16"/>
      <c r="AB145" s="16"/>
      <c r="AC145" s="16"/>
      <c r="AD145" s="16"/>
      <c r="AE145" s="1"/>
      <c r="AF145" s="16"/>
      <c r="AG145" s="16"/>
      <c r="AH145" s="16"/>
      <c r="AI145" s="16"/>
    </row>
    <row r="146" ht="15.75" customHeight="1">
      <c r="A146" s="1"/>
      <c r="B146" s="1"/>
      <c r="C146" s="16"/>
      <c r="D146" s="1"/>
      <c r="E146" s="16"/>
      <c r="F146" s="16"/>
      <c r="G146" s="1"/>
      <c r="H146" s="1"/>
      <c r="I146" s="1"/>
      <c r="J146" s="1"/>
      <c r="K146" s="1"/>
      <c r="L146" s="16"/>
      <c r="M146" s="1"/>
      <c r="N146" s="1"/>
      <c r="O146" s="1"/>
      <c r="P146" s="140"/>
      <c r="Q146" s="1"/>
      <c r="R146" s="16"/>
      <c r="S146" s="1"/>
      <c r="T146" s="16"/>
      <c r="U146" s="140"/>
      <c r="V146" s="16"/>
      <c r="W146" s="16"/>
      <c r="X146" s="1"/>
      <c r="Y146" s="1"/>
      <c r="Z146" s="16"/>
      <c r="AA146" s="16"/>
      <c r="AB146" s="16"/>
      <c r="AC146" s="16"/>
      <c r="AD146" s="16"/>
      <c r="AE146" s="1"/>
      <c r="AF146" s="16"/>
      <c r="AG146" s="16"/>
      <c r="AH146" s="16"/>
      <c r="AI146" s="16"/>
    </row>
    <row r="147" ht="15.75" customHeight="1">
      <c r="A147" s="1"/>
      <c r="B147" s="1"/>
      <c r="C147" s="16"/>
      <c r="D147" s="1"/>
      <c r="E147" s="16"/>
      <c r="F147" s="16"/>
      <c r="G147" s="1"/>
      <c r="H147" s="1"/>
      <c r="I147" s="1"/>
      <c r="J147" s="1"/>
      <c r="K147" s="1"/>
      <c r="L147" s="16"/>
      <c r="M147" s="1"/>
      <c r="N147" s="1"/>
      <c r="O147" s="1"/>
      <c r="P147" s="140"/>
      <c r="Q147" s="1"/>
      <c r="R147" s="16"/>
      <c r="S147" s="1"/>
      <c r="T147" s="16"/>
      <c r="U147" s="140"/>
      <c r="V147" s="16"/>
      <c r="W147" s="16"/>
      <c r="X147" s="1"/>
      <c r="Y147" s="1"/>
      <c r="Z147" s="16"/>
      <c r="AA147" s="16"/>
      <c r="AB147" s="16"/>
      <c r="AC147" s="16"/>
      <c r="AD147" s="16"/>
      <c r="AE147" s="1"/>
      <c r="AF147" s="16"/>
      <c r="AG147" s="16"/>
      <c r="AH147" s="16"/>
      <c r="AI147" s="16"/>
    </row>
    <row r="148" ht="15.75" customHeight="1">
      <c r="A148" s="1"/>
      <c r="B148" s="1"/>
      <c r="C148" s="16"/>
      <c r="D148" s="1"/>
      <c r="E148" s="16"/>
      <c r="F148" s="16"/>
      <c r="G148" s="1"/>
      <c r="H148" s="1"/>
      <c r="I148" s="1"/>
      <c r="J148" s="1"/>
      <c r="K148" s="1"/>
      <c r="L148" s="16"/>
      <c r="M148" s="1"/>
      <c r="N148" s="1"/>
      <c r="O148" s="1"/>
      <c r="P148" s="140"/>
      <c r="Q148" s="1"/>
      <c r="R148" s="16"/>
      <c r="S148" s="1"/>
      <c r="T148" s="16"/>
      <c r="U148" s="140"/>
      <c r="V148" s="16"/>
      <c r="W148" s="16"/>
      <c r="X148" s="1"/>
      <c r="Y148" s="1"/>
      <c r="Z148" s="16"/>
      <c r="AA148" s="16"/>
      <c r="AB148" s="16"/>
      <c r="AC148" s="16"/>
      <c r="AD148" s="16"/>
      <c r="AE148" s="1"/>
      <c r="AF148" s="16"/>
      <c r="AG148" s="16"/>
      <c r="AH148" s="16"/>
      <c r="AI148" s="16"/>
    </row>
    <row r="149" ht="15.75" customHeight="1">
      <c r="A149" s="1"/>
      <c r="B149" s="1"/>
      <c r="C149" s="16"/>
      <c r="D149" s="1"/>
      <c r="E149" s="16"/>
      <c r="F149" s="16"/>
      <c r="G149" s="1"/>
      <c r="H149" s="1"/>
      <c r="I149" s="1"/>
      <c r="J149" s="1"/>
      <c r="K149" s="1"/>
      <c r="L149" s="16"/>
      <c r="M149" s="1"/>
      <c r="N149" s="1"/>
      <c r="O149" s="1"/>
      <c r="P149" s="140"/>
      <c r="Q149" s="1"/>
      <c r="R149" s="16"/>
      <c r="S149" s="1"/>
      <c r="T149" s="16"/>
      <c r="U149" s="140"/>
      <c r="V149" s="16"/>
      <c r="W149" s="16"/>
      <c r="X149" s="1"/>
      <c r="Y149" s="1"/>
      <c r="Z149" s="16"/>
      <c r="AA149" s="16"/>
      <c r="AB149" s="16"/>
      <c r="AC149" s="16"/>
      <c r="AD149" s="16"/>
      <c r="AE149" s="1"/>
      <c r="AF149" s="16"/>
      <c r="AG149" s="16"/>
      <c r="AH149" s="16"/>
      <c r="AI149" s="16"/>
    </row>
    <row r="150" ht="15.75" customHeight="1">
      <c r="A150" s="1"/>
      <c r="B150" s="1"/>
      <c r="C150" s="16"/>
      <c r="D150" s="1"/>
      <c r="E150" s="16"/>
      <c r="F150" s="16"/>
      <c r="G150" s="1"/>
      <c r="H150" s="1"/>
      <c r="I150" s="1"/>
      <c r="J150" s="1"/>
      <c r="K150" s="1"/>
      <c r="L150" s="16"/>
      <c r="M150" s="1"/>
      <c r="N150" s="1"/>
      <c r="O150" s="1"/>
      <c r="P150" s="140"/>
      <c r="Q150" s="1"/>
      <c r="R150" s="16"/>
      <c r="S150" s="1"/>
      <c r="T150" s="16"/>
      <c r="U150" s="140"/>
      <c r="V150" s="16"/>
      <c r="W150" s="16"/>
      <c r="X150" s="1"/>
      <c r="Y150" s="1"/>
      <c r="Z150" s="16"/>
      <c r="AA150" s="16"/>
      <c r="AB150" s="16"/>
      <c r="AC150" s="16"/>
      <c r="AD150" s="16"/>
      <c r="AE150" s="1"/>
      <c r="AF150" s="16"/>
      <c r="AG150" s="16"/>
      <c r="AH150" s="16"/>
      <c r="AI150" s="16"/>
    </row>
    <row r="151" ht="15.75" customHeight="1">
      <c r="A151" s="1"/>
      <c r="B151" s="1"/>
      <c r="C151" s="16"/>
      <c r="D151" s="1"/>
      <c r="E151" s="16"/>
      <c r="F151" s="16"/>
      <c r="G151" s="1"/>
      <c r="H151" s="1"/>
      <c r="I151" s="1"/>
      <c r="J151" s="1"/>
      <c r="K151" s="1"/>
      <c r="L151" s="16"/>
      <c r="M151" s="1"/>
      <c r="N151" s="1"/>
      <c r="O151" s="1"/>
      <c r="P151" s="140"/>
      <c r="Q151" s="1"/>
      <c r="R151" s="16"/>
      <c r="S151" s="1"/>
      <c r="T151" s="16"/>
      <c r="U151" s="140"/>
      <c r="V151" s="16"/>
      <c r="W151" s="16"/>
      <c r="X151" s="1"/>
      <c r="Y151" s="1"/>
      <c r="Z151" s="16"/>
      <c r="AA151" s="16"/>
      <c r="AB151" s="16"/>
      <c r="AC151" s="16"/>
      <c r="AD151" s="16"/>
      <c r="AE151" s="1"/>
      <c r="AF151" s="16"/>
      <c r="AG151" s="16"/>
      <c r="AH151" s="16"/>
      <c r="AI151" s="16"/>
    </row>
    <row r="152" ht="15.75" customHeight="1">
      <c r="A152" s="1"/>
      <c r="B152" s="1"/>
      <c r="C152" s="16"/>
      <c r="D152" s="1"/>
      <c r="E152" s="16"/>
      <c r="F152" s="16"/>
      <c r="G152" s="1"/>
      <c r="H152" s="1"/>
      <c r="I152" s="1"/>
      <c r="J152" s="1"/>
      <c r="K152" s="1"/>
      <c r="L152" s="16"/>
      <c r="M152" s="1"/>
      <c r="N152" s="1"/>
      <c r="O152" s="1"/>
      <c r="P152" s="140"/>
      <c r="Q152" s="1"/>
      <c r="R152" s="16"/>
      <c r="S152" s="1"/>
      <c r="T152" s="16"/>
      <c r="U152" s="140"/>
      <c r="V152" s="16"/>
      <c r="W152" s="16"/>
      <c r="X152" s="1"/>
      <c r="Y152" s="1"/>
      <c r="Z152" s="16"/>
      <c r="AA152" s="16"/>
      <c r="AB152" s="16"/>
      <c r="AC152" s="16"/>
      <c r="AD152" s="16"/>
      <c r="AE152" s="1"/>
      <c r="AF152" s="16"/>
      <c r="AG152" s="16"/>
      <c r="AH152" s="16"/>
      <c r="AI152" s="16"/>
    </row>
    <row r="153" ht="15.75" customHeight="1">
      <c r="A153" s="1"/>
      <c r="B153" s="1"/>
      <c r="C153" s="16"/>
      <c r="D153" s="1"/>
      <c r="E153" s="16"/>
      <c r="F153" s="16"/>
      <c r="G153" s="1"/>
      <c r="H153" s="1"/>
      <c r="I153" s="1"/>
      <c r="J153" s="1"/>
      <c r="K153" s="1"/>
      <c r="L153" s="16"/>
      <c r="M153" s="1"/>
      <c r="N153" s="1"/>
      <c r="O153" s="1"/>
      <c r="P153" s="140"/>
      <c r="Q153" s="1"/>
      <c r="R153" s="16"/>
      <c r="S153" s="1"/>
      <c r="T153" s="16"/>
      <c r="U153" s="140"/>
      <c r="V153" s="16"/>
      <c r="W153" s="16"/>
      <c r="X153" s="1"/>
      <c r="Y153" s="1"/>
      <c r="Z153" s="16"/>
      <c r="AA153" s="16"/>
      <c r="AB153" s="16"/>
      <c r="AC153" s="16"/>
      <c r="AD153" s="16"/>
      <c r="AE153" s="1"/>
      <c r="AF153" s="16"/>
      <c r="AG153" s="16"/>
      <c r="AH153" s="16"/>
      <c r="AI153" s="16"/>
    </row>
    <row r="154" ht="15.75" customHeight="1">
      <c r="A154" s="1"/>
      <c r="B154" s="1"/>
      <c r="C154" s="16"/>
      <c r="D154" s="1"/>
      <c r="E154" s="16"/>
      <c r="F154" s="16"/>
      <c r="G154" s="1"/>
      <c r="H154" s="1"/>
      <c r="I154" s="1"/>
      <c r="J154" s="1"/>
      <c r="K154" s="1"/>
      <c r="L154" s="16"/>
      <c r="M154" s="1"/>
      <c r="N154" s="1"/>
      <c r="O154" s="1"/>
      <c r="P154" s="140"/>
      <c r="Q154" s="1"/>
      <c r="R154" s="16"/>
      <c r="S154" s="1"/>
      <c r="T154" s="16"/>
      <c r="U154" s="140"/>
      <c r="V154" s="16"/>
      <c r="W154" s="16"/>
      <c r="X154" s="1"/>
      <c r="Y154" s="1"/>
      <c r="Z154" s="16"/>
      <c r="AA154" s="16"/>
      <c r="AB154" s="16"/>
      <c r="AC154" s="16"/>
      <c r="AD154" s="16"/>
      <c r="AE154" s="1"/>
      <c r="AF154" s="16"/>
      <c r="AG154" s="16"/>
      <c r="AH154" s="16"/>
      <c r="AI154" s="16"/>
    </row>
    <row r="155" ht="15.75" customHeight="1">
      <c r="A155" s="1"/>
      <c r="B155" s="1"/>
      <c r="C155" s="16"/>
      <c r="D155" s="1"/>
      <c r="E155" s="16"/>
      <c r="F155" s="16"/>
      <c r="G155" s="1"/>
      <c r="H155" s="1"/>
      <c r="I155" s="1"/>
      <c r="J155" s="1"/>
      <c r="K155" s="1"/>
      <c r="L155" s="16"/>
      <c r="M155" s="1"/>
      <c r="N155" s="1"/>
      <c r="O155" s="1"/>
      <c r="P155" s="140"/>
      <c r="Q155" s="1"/>
      <c r="R155" s="16"/>
      <c r="S155" s="1"/>
      <c r="T155" s="16"/>
      <c r="U155" s="140"/>
      <c r="V155" s="16"/>
      <c r="W155" s="16"/>
      <c r="X155" s="1"/>
      <c r="Y155" s="1"/>
      <c r="Z155" s="16"/>
      <c r="AA155" s="16"/>
      <c r="AB155" s="16"/>
      <c r="AC155" s="16"/>
      <c r="AD155" s="16"/>
      <c r="AE155" s="1"/>
      <c r="AF155" s="16"/>
      <c r="AG155" s="16"/>
      <c r="AH155" s="16"/>
      <c r="AI155" s="16"/>
    </row>
    <row r="156" ht="15.75" customHeight="1">
      <c r="A156" s="1"/>
      <c r="B156" s="1"/>
      <c r="C156" s="16"/>
      <c r="D156" s="1"/>
      <c r="E156" s="16"/>
      <c r="F156" s="16"/>
      <c r="G156" s="1"/>
      <c r="H156" s="1"/>
      <c r="I156" s="1"/>
      <c r="J156" s="1"/>
      <c r="K156" s="1"/>
      <c r="L156" s="16"/>
      <c r="M156" s="1"/>
      <c r="N156" s="1"/>
      <c r="O156" s="1"/>
      <c r="P156" s="140"/>
      <c r="Q156" s="1"/>
      <c r="R156" s="16"/>
      <c r="S156" s="1"/>
      <c r="T156" s="16"/>
      <c r="U156" s="140"/>
      <c r="V156" s="16"/>
      <c r="W156" s="16"/>
      <c r="X156" s="1"/>
      <c r="Y156" s="1"/>
      <c r="Z156" s="16"/>
      <c r="AA156" s="16"/>
      <c r="AB156" s="16"/>
      <c r="AC156" s="16"/>
      <c r="AD156" s="16"/>
      <c r="AE156" s="1"/>
      <c r="AF156" s="16"/>
      <c r="AG156" s="16"/>
      <c r="AH156" s="16"/>
      <c r="AI156" s="16"/>
    </row>
    <row r="157" ht="15.75" customHeight="1">
      <c r="A157" s="1"/>
      <c r="B157" s="1"/>
      <c r="C157" s="16"/>
      <c r="D157" s="1"/>
      <c r="E157" s="16"/>
      <c r="F157" s="16"/>
      <c r="G157" s="1"/>
      <c r="H157" s="1"/>
      <c r="I157" s="1"/>
      <c r="J157" s="1"/>
      <c r="K157" s="1"/>
      <c r="L157" s="16"/>
      <c r="M157" s="1"/>
      <c r="N157" s="1"/>
      <c r="O157" s="1"/>
      <c r="P157" s="140"/>
      <c r="Q157" s="1"/>
      <c r="R157" s="16"/>
      <c r="S157" s="1"/>
      <c r="T157" s="16"/>
      <c r="U157" s="140"/>
      <c r="V157" s="16"/>
      <c r="W157" s="16"/>
      <c r="X157" s="1"/>
      <c r="Y157" s="1"/>
      <c r="Z157" s="16"/>
      <c r="AA157" s="16"/>
      <c r="AB157" s="16"/>
      <c r="AC157" s="16"/>
      <c r="AD157" s="16"/>
      <c r="AE157" s="1"/>
      <c r="AF157" s="16"/>
      <c r="AG157" s="16"/>
      <c r="AH157" s="16"/>
      <c r="AI157" s="16"/>
    </row>
    <row r="158" ht="15.75" customHeight="1">
      <c r="A158" s="1"/>
      <c r="B158" s="1"/>
      <c r="C158" s="16"/>
      <c r="D158" s="1"/>
      <c r="E158" s="16"/>
      <c r="F158" s="16"/>
      <c r="G158" s="1"/>
      <c r="H158" s="1"/>
      <c r="I158" s="1"/>
      <c r="J158" s="1"/>
      <c r="K158" s="1"/>
      <c r="L158" s="16"/>
      <c r="M158" s="1"/>
      <c r="N158" s="1"/>
      <c r="O158" s="1"/>
      <c r="P158" s="140"/>
      <c r="Q158" s="1"/>
      <c r="R158" s="16"/>
      <c r="S158" s="1"/>
      <c r="T158" s="16"/>
      <c r="U158" s="140"/>
      <c r="V158" s="16"/>
      <c r="W158" s="16"/>
      <c r="X158" s="1"/>
      <c r="Y158" s="1"/>
      <c r="Z158" s="16"/>
      <c r="AA158" s="16"/>
      <c r="AB158" s="16"/>
      <c r="AC158" s="16"/>
      <c r="AD158" s="16"/>
      <c r="AE158" s="1"/>
      <c r="AF158" s="16"/>
      <c r="AG158" s="16"/>
      <c r="AH158" s="16"/>
      <c r="AI158" s="16"/>
    </row>
    <row r="159" ht="15.75" customHeight="1">
      <c r="A159" s="1"/>
      <c r="B159" s="1"/>
      <c r="C159" s="16"/>
      <c r="D159" s="1"/>
      <c r="E159" s="16"/>
      <c r="F159" s="16"/>
      <c r="G159" s="1"/>
      <c r="H159" s="1"/>
      <c r="I159" s="1"/>
      <c r="J159" s="1"/>
      <c r="K159" s="1"/>
      <c r="L159" s="16"/>
      <c r="M159" s="1"/>
      <c r="N159" s="1"/>
      <c r="O159" s="1"/>
      <c r="P159" s="140"/>
      <c r="Q159" s="1"/>
      <c r="R159" s="16"/>
      <c r="S159" s="1"/>
      <c r="T159" s="16"/>
      <c r="U159" s="140"/>
      <c r="V159" s="16"/>
      <c r="W159" s="16"/>
      <c r="X159" s="1"/>
      <c r="Y159" s="1"/>
      <c r="Z159" s="16"/>
      <c r="AA159" s="16"/>
      <c r="AB159" s="16"/>
      <c r="AC159" s="16"/>
      <c r="AD159" s="16"/>
      <c r="AE159" s="1"/>
      <c r="AF159" s="16"/>
      <c r="AG159" s="16"/>
      <c r="AH159" s="16"/>
      <c r="AI159" s="16"/>
    </row>
    <row r="160" ht="15.75" customHeight="1">
      <c r="A160" s="1"/>
      <c r="B160" s="1"/>
      <c r="C160" s="16"/>
      <c r="D160" s="1"/>
      <c r="E160" s="16"/>
      <c r="F160" s="16"/>
      <c r="G160" s="1"/>
      <c r="H160" s="1"/>
      <c r="I160" s="1"/>
      <c r="J160" s="1"/>
      <c r="K160" s="1"/>
      <c r="L160" s="16"/>
      <c r="M160" s="1"/>
      <c r="N160" s="1"/>
      <c r="O160" s="1"/>
      <c r="P160" s="140"/>
      <c r="Q160" s="1"/>
      <c r="R160" s="16"/>
      <c r="S160" s="1"/>
      <c r="T160" s="16"/>
      <c r="U160" s="140"/>
      <c r="V160" s="16"/>
      <c r="W160" s="16"/>
      <c r="X160" s="1"/>
      <c r="Y160" s="1"/>
      <c r="Z160" s="16"/>
      <c r="AA160" s="16"/>
      <c r="AB160" s="16"/>
      <c r="AC160" s="16"/>
      <c r="AD160" s="16"/>
      <c r="AE160" s="1"/>
      <c r="AF160" s="16"/>
      <c r="AG160" s="16"/>
      <c r="AH160" s="16"/>
      <c r="AI160" s="16"/>
    </row>
    <row r="161" ht="15.75" customHeight="1">
      <c r="A161" s="1"/>
      <c r="B161" s="1"/>
      <c r="C161" s="16"/>
      <c r="D161" s="1"/>
      <c r="E161" s="16"/>
      <c r="F161" s="16"/>
      <c r="G161" s="1"/>
      <c r="H161" s="1"/>
      <c r="I161" s="1"/>
      <c r="J161" s="1"/>
      <c r="K161" s="1"/>
      <c r="L161" s="16"/>
      <c r="M161" s="1"/>
      <c r="N161" s="1"/>
      <c r="O161" s="1"/>
      <c r="P161" s="140"/>
      <c r="Q161" s="1"/>
      <c r="R161" s="16"/>
      <c r="S161" s="1"/>
      <c r="T161" s="16"/>
      <c r="U161" s="140"/>
      <c r="V161" s="16"/>
      <c r="W161" s="16"/>
      <c r="X161" s="1"/>
      <c r="Y161" s="1"/>
      <c r="Z161" s="16"/>
      <c r="AA161" s="16"/>
      <c r="AB161" s="16"/>
      <c r="AC161" s="16"/>
      <c r="AD161" s="16"/>
      <c r="AE161" s="1"/>
      <c r="AF161" s="16"/>
      <c r="AG161" s="16"/>
      <c r="AH161" s="16"/>
      <c r="AI161" s="16"/>
    </row>
    <row r="162" ht="15.75" customHeight="1">
      <c r="A162" s="1"/>
      <c r="B162" s="1"/>
      <c r="C162" s="16"/>
      <c r="D162" s="1"/>
      <c r="E162" s="16"/>
      <c r="F162" s="16"/>
      <c r="G162" s="1"/>
      <c r="H162" s="1"/>
      <c r="I162" s="1"/>
      <c r="J162" s="1"/>
      <c r="K162" s="1"/>
      <c r="L162" s="16"/>
      <c r="M162" s="1"/>
      <c r="N162" s="1"/>
      <c r="O162" s="1"/>
      <c r="P162" s="140"/>
      <c r="Q162" s="1"/>
      <c r="R162" s="16"/>
      <c r="S162" s="1"/>
      <c r="T162" s="16"/>
      <c r="U162" s="140"/>
      <c r="V162" s="16"/>
      <c r="W162" s="16"/>
      <c r="X162" s="1"/>
      <c r="Y162" s="1"/>
      <c r="Z162" s="16"/>
      <c r="AA162" s="16"/>
      <c r="AB162" s="16"/>
      <c r="AC162" s="16"/>
      <c r="AD162" s="16"/>
      <c r="AE162" s="1"/>
      <c r="AF162" s="16"/>
      <c r="AG162" s="16"/>
      <c r="AH162" s="16"/>
      <c r="AI162" s="16"/>
    </row>
    <row r="163" ht="15.75" customHeight="1">
      <c r="A163" s="1"/>
      <c r="B163" s="1"/>
      <c r="C163" s="16"/>
      <c r="D163" s="1"/>
      <c r="E163" s="16"/>
      <c r="F163" s="16"/>
      <c r="G163" s="1"/>
      <c r="H163" s="1"/>
      <c r="I163" s="1"/>
      <c r="J163" s="1"/>
      <c r="K163" s="1"/>
      <c r="L163" s="16"/>
      <c r="M163" s="1"/>
      <c r="N163" s="1"/>
      <c r="O163" s="1"/>
      <c r="P163" s="140"/>
      <c r="Q163" s="1"/>
      <c r="R163" s="16"/>
      <c r="S163" s="1"/>
      <c r="T163" s="16"/>
      <c r="U163" s="140"/>
      <c r="V163" s="16"/>
      <c r="W163" s="16"/>
      <c r="X163" s="1"/>
      <c r="Y163" s="1"/>
      <c r="Z163" s="16"/>
      <c r="AA163" s="16"/>
      <c r="AB163" s="16"/>
      <c r="AC163" s="16"/>
      <c r="AD163" s="16"/>
      <c r="AE163" s="1"/>
      <c r="AF163" s="16"/>
      <c r="AG163" s="16"/>
      <c r="AH163" s="16"/>
      <c r="AI163" s="16"/>
    </row>
    <row r="164" ht="15.75" customHeight="1">
      <c r="A164" s="1"/>
      <c r="B164" s="1"/>
      <c r="C164" s="16"/>
      <c r="D164" s="1"/>
      <c r="E164" s="16"/>
      <c r="F164" s="16"/>
      <c r="G164" s="1"/>
      <c r="H164" s="1"/>
      <c r="I164" s="1"/>
      <c r="J164" s="1"/>
      <c r="K164" s="1"/>
      <c r="L164" s="16"/>
      <c r="M164" s="1"/>
      <c r="N164" s="1"/>
      <c r="O164" s="1"/>
      <c r="P164" s="140"/>
      <c r="Q164" s="1"/>
      <c r="R164" s="16"/>
      <c r="S164" s="1"/>
      <c r="T164" s="16"/>
      <c r="U164" s="140"/>
      <c r="V164" s="16"/>
      <c r="W164" s="16"/>
      <c r="X164" s="1"/>
      <c r="Y164" s="1"/>
      <c r="Z164" s="16"/>
      <c r="AA164" s="16"/>
      <c r="AB164" s="16"/>
      <c r="AC164" s="16"/>
      <c r="AD164" s="16"/>
      <c r="AE164" s="1"/>
      <c r="AF164" s="16"/>
      <c r="AG164" s="16"/>
      <c r="AH164" s="16"/>
      <c r="AI164" s="16"/>
    </row>
    <row r="165" ht="15.75" customHeight="1">
      <c r="A165" s="1"/>
      <c r="B165" s="1"/>
      <c r="C165" s="16"/>
      <c r="D165" s="1"/>
      <c r="E165" s="16"/>
      <c r="F165" s="16"/>
      <c r="G165" s="1"/>
      <c r="H165" s="1"/>
      <c r="I165" s="1"/>
      <c r="J165" s="1"/>
      <c r="K165" s="1"/>
      <c r="L165" s="16"/>
      <c r="M165" s="1"/>
      <c r="N165" s="1"/>
      <c r="O165" s="1"/>
      <c r="P165" s="140"/>
      <c r="Q165" s="1"/>
      <c r="R165" s="16"/>
      <c r="S165" s="1"/>
      <c r="T165" s="16"/>
      <c r="U165" s="140"/>
      <c r="V165" s="16"/>
      <c r="W165" s="16"/>
      <c r="X165" s="1"/>
      <c r="Y165" s="1"/>
      <c r="Z165" s="16"/>
      <c r="AA165" s="16"/>
      <c r="AB165" s="16"/>
      <c r="AC165" s="16"/>
      <c r="AD165" s="16"/>
      <c r="AE165" s="1"/>
      <c r="AF165" s="16"/>
      <c r="AG165" s="16"/>
      <c r="AH165" s="16"/>
      <c r="AI165" s="16"/>
    </row>
    <row r="166" ht="15.75" customHeight="1">
      <c r="A166" s="1"/>
      <c r="B166" s="1"/>
      <c r="C166" s="16"/>
      <c r="D166" s="1"/>
      <c r="E166" s="16"/>
      <c r="F166" s="16"/>
      <c r="G166" s="1"/>
      <c r="H166" s="1"/>
      <c r="I166" s="1"/>
      <c r="J166" s="1"/>
      <c r="K166" s="1"/>
      <c r="L166" s="16"/>
      <c r="M166" s="1"/>
      <c r="N166" s="1"/>
      <c r="O166" s="1"/>
      <c r="P166" s="140"/>
      <c r="Q166" s="1"/>
      <c r="R166" s="16"/>
      <c r="S166" s="1"/>
      <c r="T166" s="16"/>
      <c r="U166" s="140"/>
      <c r="V166" s="16"/>
      <c r="W166" s="16"/>
      <c r="X166" s="1"/>
      <c r="Y166" s="1"/>
      <c r="Z166" s="16"/>
      <c r="AA166" s="16"/>
      <c r="AB166" s="16"/>
      <c r="AC166" s="16"/>
      <c r="AD166" s="16"/>
      <c r="AE166" s="1"/>
      <c r="AF166" s="16"/>
      <c r="AG166" s="16"/>
      <c r="AH166" s="16"/>
      <c r="AI166" s="16"/>
    </row>
    <row r="167" ht="15.75" customHeight="1">
      <c r="A167" s="1"/>
      <c r="B167" s="1"/>
      <c r="C167" s="16"/>
      <c r="D167" s="1"/>
      <c r="E167" s="16"/>
      <c r="F167" s="16"/>
      <c r="G167" s="1"/>
      <c r="H167" s="1"/>
      <c r="I167" s="1"/>
      <c r="J167" s="1"/>
      <c r="K167" s="1"/>
      <c r="L167" s="16"/>
      <c r="M167" s="1"/>
      <c r="N167" s="1"/>
      <c r="O167" s="1"/>
      <c r="P167" s="140"/>
      <c r="Q167" s="1"/>
      <c r="R167" s="16"/>
      <c r="S167" s="1"/>
      <c r="T167" s="16"/>
      <c r="U167" s="140"/>
      <c r="V167" s="16"/>
      <c r="W167" s="16"/>
      <c r="X167" s="1"/>
      <c r="Y167" s="1"/>
      <c r="Z167" s="16"/>
      <c r="AA167" s="16"/>
      <c r="AB167" s="16"/>
      <c r="AC167" s="16"/>
      <c r="AD167" s="16"/>
      <c r="AE167" s="1"/>
      <c r="AF167" s="16"/>
      <c r="AG167" s="16"/>
      <c r="AH167" s="16"/>
      <c r="AI167" s="16"/>
    </row>
    <row r="168" ht="15.75" customHeight="1">
      <c r="A168" s="1"/>
      <c r="B168" s="1"/>
      <c r="C168" s="16"/>
      <c r="D168" s="1"/>
      <c r="E168" s="16"/>
      <c r="F168" s="16"/>
      <c r="G168" s="1"/>
      <c r="H168" s="1"/>
      <c r="I168" s="1"/>
      <c r="J168" s="1"/>
      <c r="K168" s="1"/>
      <c r="L168" s="16"/>
      <c r="M168" s="1"/>
      <c r="N168" s="1"/>
      <c r="O168" s="1"/>
      <c r="P168" s="140"/>
      <c r="Q168" s="1"/>
      <c r="R168" s="16"/>
      <c r="S168" s="1"/>
      <c r="T168" s="16"/>
      <c r="U168" s="140"/>
      <c r="V168" s="16"/>
      <c r="W168" s="16"/>
      <c r="X168" s="1"/>
      <c r="Y168" s="1"/>
      <c r="Z168" s="16"/>
      <c r="AA168" s="16"/>
      <c r="AB168" s="16"/>
      <c r="AC168" s="16"/>
      <c r="AD168" s="16"/>
      <c r="AE168" s="1"/>
      <c r="AF168" s="16"/>
      <c r="AG168" s="16"/>
      <c r="AH168" s="16"/>
      <c r="AI168" s="16"/>
    </row>
    <row r="169" ht="15.75" customHeight="1">
      <c r="A169" s="1"/>
      <c r="B169" s="1"/>
      <c r="C169" s="16"/>
      <c r="D169" s="1"/>
      <c r="E169" s="16"/>
      <c r="F169" s="16"/>
      <c r="G169" s="1"/>
      <c r="H169" s="1"/>
      <c r="I169" s="1"/>
      <c r="J169" s="1"/>
      <c r="K169" s="1"/>
      <c r="L169" s="16"/>
      <c r="M169" s="1"/>
      <c r="N169" s="1"/>
      <c r="O169" s="1"/>
      <c r="P169" s="140"/>
      <c r="Q169" s="1"/>
      <c r="R169" s="16"/>
      <c r="S169" s="1"/>
      <c r="T169" s="16"/>
      <c r="U169" s="140"/>
      <c r="V169" s="16"/>
      <c r="W169" s="16"/>
      <c r="X169" s="1"/>
      <c r="Y169" s="1"/>
      <c r="Z169" s="16"/>
      <c r="AA169" s="16"/>
      <c r="AB169" s="16"/>
      <c r="AC169" s="16"/>
      <c r="AD169" s="16"/>
      <c r="AE169" s="1"/>
      <c r="AF169" s="16"/>
      <c r="AG169" s="16"/>
      <c r="AH169" s="16"/>
      <c r="AI169" s="16"/>
    </row>
    <row r="170" ht="15.75" customHeight="1">
      <c r="A170" s="1"/>
      <c r="B170" s="1"/>
      <c r="C170" s="16"/>
      <c r="D170" s="1"/>
      <c r="E170" s="16"/>
      <c r="F170" s="16"/>
      <c r="G170" s="1"/>
      <c r="H170" s="1"/>
      <c r="I170" s="1"/>
      <c r="J170" s="1"/>
      <c r="K170" s="1"/>
      <c r="L170" s="16"/>
      <c r="M170" s="1"/>
      <c r="N170" s="1"/>
      <c r="O170" s="1"/>
      <c r="P170" s="140"/>
      <c r="Q170" s="1"/>
      <c r="R170" s="16"/>
      <c r="S170" s="1"/>
      <c r="T170" s="16"/>
      <c r="U170" s="140"/>
      <c r="V170" s="16"/>
      <c r="W170" s="16"/>
      <c r="X170" s="1"/>
      <c r="Y170" s="1"/>
      <c r="Z170" s="16"/>
      <c r="AA170" s="16"/>
      <c r="AB170" s="16"/>
      <c r="AC170" s="16"/>
      <c r="AD170" s="16"/>
      <c r="AE170" s="1"/>
      <c r="AF170" s="16"/>
      <c r="AG170" s="16"/>
      <c r="AH170" s="16"/>
      <c r="AI170" s="16"/>
    </row>
    <row r="171" ht="15.75" customHeight="1">
      <c r="A171" s="1"/>
      <c r="B171" s="1"/>
      <c r="C171" s="16"/>
      <c r="D171" s="1"/>
      <c r="E171" s="16"/>
      <c r="F171" s="16"/>
      <c r="G171" s="1"/>
      <c r="H171" s="1"/>
      <c r="I171" s="1"/>
      <c r="J171" s="1"/>
      <c r="K171" s="1"/>
      <c r="L171" s="16"/>
      <c r="M171" s="1"/>
      <c r="N171" s="1"/>
      <c r="O171" s="1"/>
      <c r="P171" s="140"/>
      <c r="Q171" s="1"/>
      <c r="R171" s="16"/>
      <c r="S171" s="1"/>
      <c r="T171" s="16"/>
      <c r="U171" s="140"/>
      <c r="V171" s="16"/>
      <c r="W171" s="16"/>
      <c r="X171" s="1"/>
      <c r="Y171" s="1"/>
      <c r="Z171" s="16"/>
      <c r="AA171" s="16"/>
      <c r="AB171" s="16"/>
      <c r="AC171" s="16"/>
      <c r="AD171" s="16"/>
      <c r="AE171" s="1"/>
      <c r="AF171" s="16"/>
      <c r="AG171" s="16"/>
      <c r="AH171" s="16"/>
      <c r="AI171" s="16"/>
    </row>
    <row r="172" ht="15.75" customHeight="1">
      <c r="A172" s="1"/>
      <c r="B172" s="1"/>
      <c r="C172" s="16"/>
      <c r="D172" s="1"/>
      <c r="E172" s="16"/>
      <c r="F172" s="16"/>
      <c r="G172" s="1"/>
      <c r="H172" s="1"/>
      <c r="I172" s="1"/>
      <c r="J172" s="1"/>
      <c r="K172" s="1"/>
      <c r="L172" s="16"/>
      <c r="M172" s="1"/>
      <c r="N172" s="1"/>
      <c r="O172" s="1"/>
      <c r="P172" s="140"/>
      <c r="Q172" s="1"/>
      <c r="R172" s="16"/>
      <c r="S172" s="1"/>
      <c r="T172" s="16"/>
      <c r="U172" s="140"/>
      <c r="V172" s="16"/>
      <c r="W172" s="16"/>
      <c r="X172" s="1"/>
      <c r="Y172" s="1"/>
      <c r="Z172" s="16"/>
      <c r="AA172" s="16"/>
      <c r="AB172" s="16"/>
      <c r="AC172" s="16"/>
      <c r="AD172" s="16"/>
      <c r="AE172" s="1"/>
      <c r="AF172" s="16"/>
      <c r="AG172" s="16"/>
      <c r="AH172" s="16"/>
      <c r="AI172" s="16"/>
    </row>
    <row r="173" ht="15.75" customHeight="1">
      <c r="A173" s="1"/>
      <c r="B173" s="1"/>
      <c r="C173" s="16"/>
      <c r="D173" s="1"/>
      <c r="E173" s="16"/>
      <c r="F173" s="16"/>
      <c r="G173" s="1"/>
      <c r="H173" s="1"/>
      <c r="I173" s="1"/>
      <c r="J173" s="1"/>
      <c r="K173" s="1"/>
      <c r="L173" s="16"/>
      <c r="M173" s="1"/>
      <c r="N173" s="1"/>
      <c r="O173" s="1"/>
      <c r="P173" s="140"/>
      <c r="Q173" s="1"/>
      <c r="R173" s="16"/>
      <c r="S173" s="1"/>
      <c r="T173" s="16"/>
      <c r="U173" s="140"/>
      <c r="V173" s="16"/>
      <c r="W173" s="16"/>
      <c r="X173" s="1"/>
      <c r="Y173" s="1"/>
      <c r="Z173" s="16"/>
      <c r="AA173" s="16"/>
      <c r="AB173" s="16"/>
      <c r="AC173" s="16"/>
      <c r="AD173" s="16"/>
      <c r="AE173" s="1"/>
      <c r="AF173" s="16"/>
      <c r="AG173" s="16"/>
      <c r="AH173" s="16"/>
      <c r="AI173" s="16"/>
    </row>
    <row r="174" ht="15.75" customHeight="1">
      <c r="A174" s="1"/>
      <c r="B174" s="1"/>
      <c r="C174" s="16"/>
      <c r="D174" s="1"/>
      <c r="E174" s="16"/>
      <c r="F174" s="16"/>
      <c r="G174" s="1"/>
      <c r="H174" s="1"/>
      <c r="I174" s="1"/>
      <c r="J174" s="1"/>
      <c r="K174" s="1"/>
      <c r="L174" s="16"/>
      <c r="M174" s="1"/>
      <c r="N174" s="1"/>
      <c r="O174" s="1"/>
      <c r="P174" s="140"/>
      <c r="Q174" s="1"/>
      <c r="R174" s="16"/>
      <c r="S174" s="1"/>
      <c r="T174" s="16"/>
      <c r="U174" s="140"/>
      <c r="V174" s="16"/>
      <c r="W174" s="16"/>
      <c r="X174" s="1"/>
      <c r="Y174" s="1"/>
      <c r="Z174" s="16"/>
      <c r="AA174" s="16"/>
      <c r="AB174" s="16"/>
      <c r="AC174" s="16"/>
      <c r="AD174" s="16"/>
      <c r="AE174" s="1"/>
      <c r="AF174" s="16"/>
      <c r="AG174" s="16"/>
      <c r="AH174" s="16"/>
      <c r="AI174" s="16"/>
    </row>
    <row r="175" ht="15.75" customHeight="1">
      <c r="A175" s="1"/>
      <c r="B175" s="1"/>
      <c r="C175" s="16"/>
      <c r="D175" s="1"/>
      <c r="E175" s="16"/>
      <c r="F175" s="16"/>
      <c r="G175" s="1"/>
      <c r="H175" s="1"/>
      <c r="I175" s="1"/>
      <c r="J175" s="1"/>
      <c r="K175" s="1"/>
      <c r="L175" s="16"/>
      <c r="M175" s="1"/>
      <c r="N175" s="1"/>
      <c r="O175" s="1"/>
      <c r="P175" s="140"/>
      <c r="Q175" s="1"/>
      <c r="R175" s="16"/>
      <c r="S175" s="1"/>
      <c r="T175" s="16"/>
      <c r="U175" s="140"/>
      <c r="V175" s="16"/>
      <c r="W175" s="16"/>
      <c r="X175" s="1"/>
      <c r="Y175" s="1"/>
      <c r="Z175" s="16"/>
      <c r="AA175" s="16"/>
      <c r="AB175" s="16"/>
      <c r="AC175" s="16"/>
      <c r="AD175" s="16"/>
      <c r="AE175" s="1"/>
      <c r="AF175" s="16"/>
      <c r="AG175" s="16"/>
      <c r="AH175" s="16"/>
      <c r="AI175" s="16"/>
    </row>
    <row r="176" ht="15.75" customHeight="1">
      <c r="A176" s="1"/>
      <c r="B176" s="1"/>
      <c r="C176" s="16"/>
      <c r="D176" s="1"/>
      <c r="E176" s="16"/>
      <c r="F176" s="16"/>
      <c r="G176" s="1"/>
      <c r="H176" s="1"/>
      <c r="I176" s="1"/>
      <c r="J176" s="1"/>
      <c r="K176" s="1"/>
      <c r="L176" s="16"/>
      <c r="M176" s="1"/>
      <c r="N176" s="1"/>
      <c r="O176" s="1"/>
      <c r="P176" s="140"/>
      <c r="Q176" s="1"/>
      <c r="R176" s="16"/>
      <c r="S176" s="1"/>
      <c r="T176" s="16"/>
      <c r="U176" s="140"/>
      <c r="V176" s="16"/>
      <c r="W176" s="16"/>
      <c r="X176" s="1"/>
      <c r="Y176" s="1"/>
      <c r="Z176" s="16"/>
      <c r="AA176" s="16"/>
      <c r="AB176" s="16"/>
      <c r="AC176" s="16"/>
      <c r="AD176" s="16"/>
      <c r="AE176" s="1"/>
      <c r="AF176" s="16"/>
      <c r="AG176" s="16"/>
      <c r="AH176" s="16"/>
      <c r="AI176" s="16"/>
    </row>
    <row r="177" ht="15.75" customHeight="1">
      <c r="A177" s="1"/>
      <c r="B177" s="1"/>
      <c r="C177" s="16"/>
      <c r="D177" s="1"/>
      <c r="E177" s="16"/>
      <c r="F177" s="16"/>
      <c r="G177" s="1"/>
      <c r="H177" s="1"/>
      <c r="I177" s="1"/>
      <c r="J177" s="1"/>
      <c r="K177" s="1"/>
      <c r="L177" s="16"/>
      <c r="M177" s="1"/>
      <c r="N177" s="1"/>
      <c r="O177" s="1"/>
      <c r="P177" s="140"/>
      <c r="Q177" s="1"/>
      <c r="R177" s="16"/>
      <c r="S177" s="1"/>
      <c r="T177" s="16"/>
      <c r="U177" s="140"/>
      <c r="V177" s="16"/>
      <c r="W177" s="16"/>
      <c r="X177" s="1"/>
      <c r="Y177" s="1"/>
      <c r="Z177" s="16"/>
      <c r="AA177" s="16"/>
      <c r="AB177" s="16"/>
      <c r="AC177" s="16"/>
      <c r="AD177" s="16"/>
      <c r="AE177" s="1"/>
      <c r="AF177" s="16"/>
      <c r="AG177" s="16"/>
      <c r="AH177" s="16"/>
      <c r="AI177" s="16"/>
    </row>
    <row r="178" ht="15.75" customHeight="1">
      <c r="A178" s="1"/>
      <c r="B178" s="1"/>
      <c r="C178" s="16"/>
      <c r="D178" s="1"/>
      <c r="E178" s="16"/>
      <c r="F178" s="16"/>
      <c r="G178" s="1"/>
      <c r="H178" s="1"/>
      <c r="I178" s="1"/>
      <c r="J178" s="1"/>
      <c r="K178" s="1"/>
      <c r="L178" s="16"/>
      <c r="M178" s="1"/>
      <c r="N178" s="1"/>
      <c r="O178" s="1"/>
      <c r="P178" s="140"/>
      <c r="Q178" s="1"/>
      <c r="R178" s="16"/>
      <c r="S178" s="1"/>
      <c r="T178" s="16"/>
      <c r="U178" s="140"/>
      <c r="V178" s="16"/>
      <c r="W178" s="16"/>
      <c r="X178" s="1"/>
      <c r="Y178" s="1"/>
      <c r="Z178" s="16"/>
      <c r="AA178" s="16"/>
      <c r="AB178" s="16"/>
      <c r="AC178" s="16"/>
      <c r="AD178" s="16"/>
      <c r="AE178" s="1"/>
      <c r="AF178" s="16"/>
      <c r="AG178" s="16"/>
      <c r="AH178" s="16"/>
      <c r="AI178" s="16"/>
    </row>
    <row r="179" ht="15.75" customHeight="1">
      <c r="A179" s="1"/>
      <c r="B179" s="1"/>
      <c r="C179" s="16"/>
      <c r="D179" s="1"/>
      <c r="E179" s="16"/>
      <c r="F179" s="16"/>
      <c r="G179" s="1"/>
      <c r="H179" s="1"/>
      <c r="I179" s="1"/>
      <c r="J179" s="1"/>
      <c r="K179" s="1"/>
      <c r="L179" s="16"/>
      <c r="M179" s="1"/>
      <c r="N179" s="1"/>
      <c r="O179" s="1"/>
      <c r="P179" s="140"/>
      <c r="Q179" s="1"/>
      <c r="R179" s="16"/>
      <c r="S179" s="1"/>
      <c r="T179" s="16"/>
      <c r="U179" s="140"/>
      <c r="V179" s="16"/>
      <c r="W179" s="16"/>
      <c r="X179" s="1"/>
      <c r="Y179" s="1"/>
      <c r="Z179" s="16"/>
      <c r="AA179" s="16"/>
      <c r="AB179" s="16"/>
      <c r="AC179" s="16"/>
      <c r="AD179" s="16"/>
      <c r="AE179" s="1"/>
      <c r="AF179" s="16"/>
      <c r="AG179" s="16"/>
      <c r="AH179" s="16"/>
      <c r="AI179" s="16"/>
    </row>
    <row r="180" ht="15.75" customHeight="1">
      <c r="A180" s="1"/>
      <c r="B180" s="1"/>
      <c r="C180" s="16"/>
      <c r="D180" s="1"/>
      <c r="E180" s="16"/>
      <c r="F180" s="16"/>
      <c r="G180" s="1"/>
      <c r="H180" s="1"/>
      <c r="I180" s="1"/>
      <c r="J180" s="1"/>
      <c r="K180" s="1"/>
      <c r="L180" s="16"/>
      <c r="M180" s="1"/>
      <c r="N180" s="1"/>
      <c r="O180" s="1"/>
      <c r="P180" s="140"/>
      <c r="Q180" s="1"/>
      <c r="R180" s="16"/>
      <c r="S180" s="1"/>
      <c r="T180" s="16"/>
      <c r="U180" s="140"/>
      <c r="V180" s="16"/>
      <c r="W180" s="16"/>
      <c r="X180" s="1"/>
      <c r="Y180" s="1"/>
      <c r="Z180" s="16"/>
      <c r="AA180" s="16"/>
      <c r="AB180" s="16"/>
      <c r="AC180" s="16"/>
      <c r="AD180" s="16"/>
      <c r="AE180" s="1"/>
      <c r="AF180" s="16"/>
      <c r="AG180" s="16"/>
      <c r="AH180" s="16"/>
      <c r="AI180" s="16"/>
    </row>
    <row r="181" ht="15.75" customHeight="1">
      <c r="A181" s="1"/>
      <c r="B181" s="1"/>
      <c r="C181" s="16"/>
      <c r="D181" s="1"/>
      <c r="E181" s="16"/>
      <c r="F181" s="16"/>
      <c r="G181" s="1"/>
      <c r="H181" s="1"/>
      <c r="I181" s="1"/>
      <c r="J181" s="1"/>
      <c r="K181" s="1"/>
      <c r="L181" s="16"/>
      <c r="M181" s="1"/>
      <c r="N181" s="1"/>
      <c r="O181" s="1"/>
      <c r="P181" s="140"/>
      <c r="Q181" s="1"/>
      <c r="R181" s="16"/>
      <c r="S181" s="1"/>
      <c r="T181" s="16"/>
      <c r="U181" s="140"/>
      <c r="V181" s="16"/>
      <c r="W181" s="16"/>
      <c r="X181" s="1"/>
      <c r="Y181" s="1"/>
      <c r="Z181" s="16"/>
      <c r="AA181" s="16"/>
      <c r="AB181" s="16"/>
      <c r="AC181" s="16"/>
      <c r="AD181" s="16"/>
      <c r="AE181" s="1"/>
      <c r="AF181" s="16"/>
      <c r="AG181" s="16"/>
      <c r="AH181" s="16"/>
      <c r="AI181" s="16"/>
    </row>
    <row r="182" ht="15.75" customHeight="1">
      <c r="A182" s="1"/>
      <c r="B182" s="1"/>
      <c r="C182" s="16"/>
      <c r="D182" s="1"/>
      <c r="E182" s="16"/>
      <c r="F182" s="16"/>
      <c r="G182" s="1"/>
      <c r="H182" s="1"/>
      <c r="I182" s="1"/>
      <c r="J182" s="1"/>
      <c r="K182" s="1"/>
      <c r="L182" s="16"/>
      <c r="M182" s="1"/>
      <c r="N182" s="1"/>
      <c r="O182" s="1"/>
      <c r="P182" s="140"/>
      <c r="Q182" s="1"/>
      <c r="R182" s="16"/>
      <c r="S182" s="1"/>
      <c r="T182" s="16"/>
      <c r="U182" s="140"/>
      <c r="V182" s="16"/>
      <c r="W182" s="16"/>
      <c r="X182" s="1"/>
      <c r="Y182" s="1"/>
      <c r="Z182" s="16"/>
      <c r="AA182" s="16"/>
      <c r="AB182" s="16"/>
      <c r="AC182" s="16"/>
      <c r="AD182" s="16"/>
      <c r="AE182" s="1"/>
      <c r="AF182" s="16"/>
      <c r="AG182" s="16"/>
      <c r="AH182" s="16"/>
      <c r="AI182" s="16"/>
    </row>
    <row r="183" ht="15.75" customHeight="1">
      <c r="A183" s="1"/>
      <c r="B183" s="1"/>
      <c r="C183" s="16"/>
      <c r="D183" s="1"/>
      <c r="E183" s="16"/>
      <c r="F183" s="16"/>
      <c r="G183" s="1"/>
      <c r="H183" s="1"/>
      <c r="I183" s="1"/>
      <c r="J183" s="1"/>
      <c r="K183" s="1"/>
      <c r="L183" s="16"/>
      <c r="M183" s="1"/>
      <c r="N183" s="1"/>
      <c r="O183" s="1"/>
      <c r="P183" s="140"/>
      <c r="Q183" s="1"/>
      <c r="R183" s="16"/>
      <c r="S183" s="1"/>
      <c r="T183" s="16"/>
      <c r="U183" s="140"/>
      <c r="V183" s="16"/>
      <c r="W183" s="16"/>
      <c r="X183" s="1"/>
      <c r="Y183" s="1"/>
      <c r="Z183" s="16"/>
      <c r="AA183" s="16"/>
      <c r="AB183" s="16"/>
      <c r="AC183" s="16"/>
      <c r="AD183" s="16"/>
      <c r="AE183" s="1"/>
      <c r="AF183" s="16"/>
      <c r="AG183" s="16"/>
      <c r="AH183" s="16"/>
      <c r="AI183" s="16"/>
    </row>
    <row r="184" ht="15.75" customHeight="1">
      <c r="A184" s="1"/>
      <c r="B184" s="1"/>
      <c r="C184" s="16"/>
      <c r="D184" s="1"/>
      <c r="E184" s="16"/>
      <c r="F184" s="16"/>
      <c r="G184" s="1"/>
      <c r="H184" s="1"/>
      <c r="I184" s="1"/>
      <c r="J184" s="1"/>
      <c r="K184" s="1"/>
      <c r="L184" s="16"/>
      <c r="M184" s="1"/>
      <c r="N184" s="1"/>
      <c r="O184" s="1"/>
      <c r="P184" s="140"/>
      <c r="Q184" s="1"/>
      <c r="R184" s="16"/>
      <c r="S184" s="1"/>
      <c r="T184" s="16"/>
      <c r="U184" s="140"/>
      <c r="V184" s="16"/>
      <c r="W184" s="16"/>
      <c r="X184" s="1"/>
      <c r="Y184" s="1"/>
      <c r="Z184" s="16"/>
      <c r="AA184" s="16"/>
      <c r="AB184" s="16"/>
      <c r="AC184" s="16"/>
      <c r="AD184" s="16"/>
      <c r="AE184" s="1"/>
      <c r="AF184" s="16"/>
      <c r="AG184" s="16"/>
      <c r="AH184" s="16"/>
      <c r="AI184" s="16"/>
    </row>
    <row r="185" ht="15.75" customHeight="1">
      <c r="A185" s="1"/>
      <c r="B185" s="1"/>
      <c r="C185" s="16"/>
      <c r="D185" s="1"/>
      <c r="E185" s="16"/>
      <c r="F185" s="16"/>
      <c r="G185" s="1"/>
      <c r="H185" s="1"/>
      <c r="I185" s="1"/>
      <c r="J185" s="1"/>
      <c r="K185" s="1"/>
      <c r="L185" s="16"/>
      <c r="M185" s="1"/>
      <c r="N185" s="1"/>
      <c r="O185" s="1"/>
      <c r="P185" s="140"/>
      <c r="Q185" s="1"/>
      <c r="R185" s="16"/>
      <c r="S185" s="1"/>
      <c r="T185" s="16"/>
      <c r="U185" s="140"/>
      <c r="V185" s="16"/>
      <c r="W185" s="16"/>
      <c r="X185" s="1"/>
      <c r="Y185" s="1"/>
      <c r="Z185" s="16"/>
      <c r="AA185" s="16"/>
      <c r="AB185" s="16"/>
      <c r="AC185" s="16"/>
      <c r="AD185" s="16"/>
      <c r="AE185" s="1"/>
      <c r="AF185" s="16"/>
      <c r="AG185" s="16"/>
      <c r="AH185" s="16"/>
      <c r="AI185" s="16"/>
    </row>
    <row r="186" ht="15.75" customHeight="1">
      <c r="A186" s="1"/>
      <c r="B186" s="1"/>
      <c r="C186" s="16"/>
      <c r="D186" s="1"/>
      <c r="E186" s="16"/>
      <c r="F186" s="16"/>
      <c r="G186" s="1"/>
      <c r="H186" s="1"/>
      <c r="I186" s="1"/>
      <c r="J186" s="1"/>
      <c r="K186" s="1"/>
      <c r="L186" s="16"/>
      <c r="M186" s="1"/>
      <c r="N186" s="1"/>
      <c r="O186" s="1"/>
      <c r="P186" s="140"/>
      <c r="Q186" s="1"/>
      <c r="R186" s="16"/>
      <c r="S186" s="1"/>
      <c r="T186" s="16"/>
      <c r="U186" s="140"/>
      <c r="V186" s="16"/>
      <c r="W186" s="16"/>
      <c r="X186" s="1"/>
      <c r="Y186" s="1"/>
      <c r="Z186" s="16"/>
      <c r="AA186" s="16"/>
      <c r="AB186" s="16"/>
      <c r="AC186" s="16"/>
      <c r="AD186" s="16"/>
      <c r="AE186" s="1"/>
      <c r="AF186" s="16"/>
      <c r="AG186" s="16"/>
      <c r="AH186" s="16"/>
      <c r="AI186" s="16"/>
    </row>
    <row r="187" ht="15.75" customHeight="1">
      <c r="A187" s="1"/>
      <c r="B187" s="1"/>
      <c r="C187" s="16"/>
      <c r="D187" s="1"/>
      <c r="E187" s="16"/>
      <c r="F187" s="16"/>
      <c r="G187" s="1"/>
      <c r="H187" s="1"/>
      <c r="I187" s="1"/>
      <c r="J187" s="1"/>
      <c r="K187" s="1"/>
      <c r="L187" s="16"/>
      <c r="M187" s="1"/>
      <c r="N187" s="1"/>
      <c r="O187" s="1"/>
      <c r="P187" s="140"/>
      <c r="Q187" s="1"/>
      <c r="R187" s="16"/>
      <c r="S187" s="1"/>
      <c r="T187" s="16"/>
      <c r="U187" s="140"/>
      <c r="V187" s="16"/>
      <c r="W187" s="16"/>
      <c r="X187" s="1"/>
      <c r="Y187" s="1"/>
      <c r="Z187" s="16"/>
      <c r="AA187" s="16"/>
      <c r="AB187" s="16"/>
      <c r="AC187" s="16"/>
      <c r="AD187" s="16"/>
      <c r="AE187" s="1"/>
      <c r="AF187" s="16"/>
      <c r="AG187" s="16"/>
      <c r="AH187" s="16"/>
      <c r="AI187" s="16"/>
    </row>
    <row r="188" ht="15.75" customHeight="1">
      <c r="A188" s="1"/>
      <c r="B188" s="1"/>
      <c r="C188" s="16"/>
      <c r="D188" s="1"/>
      <c r="E188" s="16"/>
      <c r="F188" s="16"/>
      <c r="G188" s="1"/>
      <c r="H188" s="1"/>
      <c r="I188" s="1"/>
      <c r="J188" s="1"/>
      <c r="K188" s="1"/>
      <c r="L188" s="16"/>
      <c r="M188" s="1"/>
      <c r="N188" s="1"/>
      <c r="O188" s="1"/>
      <c r="P188" s="140"/>
      <c r="Q188" s="1"/>
      <c r="R188" s="16"/>
      <c r="S188" s="1"/>
      <c r="T188" s="16"/>
      <c r="U188" s="140"/>
      <c r="V188" s="16"/>
      <c r="W188" s="16"/>
      <c r="X188" s="1"/>
      <c r="Y188" s="1"/>
      <c r="Z188" s="16"/>
      <c r="AA188" s="16"/>
      <c r="AB188" s="16"/>
      <c r="AC188" s="16"/>
      <c r="AD188" s="16"/>
      <c r="AE188" s="1"/>
      <c r="AF188" s="16"/>
      <c r="AG188" s="16"/>
      <c r="AH188" s="16"/>
      <c r="AI188" s="16"/>
    </row>
    <row r="189" ht="15.75" customHeight="1">
      <c r="A189" s="1"/>
      <c r="B189" s="1"/>
      <c r="C189" s="16"/>
      <c r="D189" s="1"/>
      <c r="E189" s="16"/>
      <c r="F189" s="16"/>
      <c r="G189" s="1"/>
      <c r="H189" s="1"/>
      <c r="I189" s="1"/>
      <c r="J189" s="1"/>
      <c r="K189" s="1"/>
      <c r="L189" s="16"/>
      <c r="M189" s="1"/>
      <c r="N189" s="1"/>
      <c r="O189" s="1"/>
      <c r="P189" s="140"/>
      <c r="Q189" s="1"/>
      <c r="R189" s="16"/>
      <c r="S189" s="1"/>
      <c r="T189" s="16"/>
      <c r="U189" s="140"/>
      <c r="V189" s="16"/>
      <c r="W189" s="16"/>
      <c r="X189" s="1"/>
      <c r="Y189" s="1"/>
      <c r="Z189" s="16"/>
      <c r="AA189" s="16"/>
      <c r="AB189" s="16"/>
      <c r="AC189" s="16"/>
      <c r="AD189" s="16"/>
      <c r="AE189" s="1"/>
      <c r="AF189" s="16"/>
      <c r="AG189" s="16"/>
      <c r="AH189" s="16"/>
      <c r="AI189" s="16"/>
    </row>
    <row r="190" ht="15.75" customHeight="1">
      <c r="A190" s="1"/>
      <c r="B190" s="1"/>
      <c r="C190" s="16"/>
      <c r="D190" s="1"/>
      <c r="E190" s="16"/>
      <c r="F190" s="16"/>
      <c r="G190" s="1"/>
      <c r="H190" s="1"/>
      <c r="I190" s="1"/>
      <c r="J190" s="1"/>
      <c r="K190" s="1"/>
      <c r="L190" s="16"/>
      <c r="M190" s="1"/>
      <c r="N190" s="1"/>
      <c r="O190" s="1"/>
      <c r="P190" s="140"/>
      <c r="Q190" s="1"/>
      <c r="R190" s="16"/>
      <c r="S190" s="1"/>
      <c r="T190" s="16"/>
      <c r="U190" s="140"/>
      <c r="V190" s="16"/>
      <c r="W190" s="16"/>
      <c r="X190" s="1"/>
      <c r="Y190" s="1"/>
      <c r="Z190" s="16"/>
      <c r="AA190" s="16"/>
      <c r="AB190" s="16"/>
      <c r="AC190" s="16"/>
      <c r="AD190" s="16"/>
      <c r="AE190" s="1"/>
      <c r="AF190" s="16"/>
      <c r="AG190" s="16"/>
      <c r="AH190" s="16"/>
      <c r="AI190" s="16"/>
    </row>
    <row r="191" ht="15.75" customHeight="1">
      <c r="A191" s="1"/>
      <c r="B191" s="1"/>
      <c r="C191" s="16"/>
      <c r="D191" s="1"/>
      <c r="E191" s="16"/>
      <c r="F191" s="16"/>
      <c r="G191" s="1"/>
      <c r="H191" s="1"/>
      <c r="I191" s="1"/>
      <c r="J191" s="1"/>
      <c r="K191" s="1"/>
      <c r="L191" s="16"/>
      <c r="M191" s="1"/>
      <c r="N191" s="1"/>
      <c r="O191" s="1"/>
      <c r="P191" s="140"/>
      <c r="Q191" s="1"/>
      <c r="R191" s="16"/>
      <c r="S191" s="1"/>
      <c r="T191" s="16"/>
      <c r="U191" s="140"/>
      <c r="V191" s="16"/>
      <c r="W191" s="16"/>
      <c r="X191" s="1"/>
      <c r="Y191" s="1"/>
      <c r="Z191" s="16"/>
      <c r="AA191" s="16"/>
      <c r="AB191" s="16"/>
      <c r="AC191" s="16"/>
      <c r="AD191" s="16"/>
      <c r="AE191" s="1"/>
      <c r="AF191" s="16"/>
      <c r="AG191" s="16"/>
      <c r="AH191" s="16"/>
      <c r="AI191" s="16"/>
    </row>
    <row r="192" ht="15.75" customHeight="1">
      <c r="A192" s="1"/>
      <c r="B192" s="1"/>
      <c r="C192" s="16"/>
      <c r="D192" s="1"/>
      <c r="E192" s="16"/>
      <c r="F192" s="16"/>
      <c r="G192" s="1"/>
      <c r="H192" s="1"/>
      <c r="I192" s="1"/>
      <c r="J192" s="1"/>
      <c r="K192" s="1"/>
      <c r="L192" s="16"/>
      <c r="M192" s="1"/>
      <c r="N192" s="1"/>
      <c r="O192" s="1"/>
      <c r="P192" s="140"/>
      <c r="Q192" s="1"/>
      <c r="R192" s="16"/>
      <c r="S192" s="1"/>
      <c r="T192" s="16"/>
      <c r="U192" s="140"/>
      <c r="V192" s="16"/>
      <c r="W192" s="16"/>
      <c r="X192" s="1"/>
      <c r="Y192" s="1"/>
      <c r="Z192" s="16"/>
      <c r="AA192" s="16"/>
      <c r="AB192" s="16"/>
      <c r="AC192" s="16"/>
      <c r="AD192" s="16"/>
      <c r="AE192" s="1"/>
      <c r="AF192" s="16"/>
      <c r="AG192" s="16"/>
      <c r="AH192" s="16"/>
      <c r="AI192" s="16"/>
    </row>
    <row r="193" ht="15.75" customHeight="1">
      <c r="A193" s="1"/>
      <c r="B193" s="1"/>
      <c r="C193" s="16"/>
      <c r="D193" s="1"/>
      <c r="E193" s="16"/>
      <c r="F193" s="16"/>
      <c r="G193" s="1"/>
      <c r="H193" s="1"/>
      <c r="I193" s="1"/>
      <c r="J193" s="1"/>
      <c r="K193" s="1"/>
      <c r="L193" s="16"/>
      <c r="M193" s="1"/>
      <c r="N193" s="1"/>
      <c r="O193" s="1"/>
      <c r="P193" s="140"/>
      <c r="Q193" s="1"/>
      <c r="R193" s="16"/>
      <c r="S193" s="1"/>
      <c r="T193" s="16"/>
      <c r="U193" s="140"/>
      <c r="V193" s="16"/>
      <c r="W193" s="16"/>
      <c r="X193" s="1"/>
      <c r="Y193" s="1"/>
      <c r="Z193" s="16"/>
      <c r="AA193" s="16"/>
      <c r="AB193" s="16"/>
      <c r="AC193" s="16"/>
      <c r="AD193" s="16"/>
      <c r="AE193" s="1"/>
      <c r="AF193" s="16"/>
      <c r="AG193" s="16"/>
      <c r="AH193" s="16"/>
      <c r="AI193" s="16"/>
    </row>
    <row r="194" ht="15.75" customHeight="1">
      <c r="A194" s="1"/>
      <c r="B194" s="1"/>
      <c r="C194" s="16"/>
      <c r="D194" s="1"/>
      <c r="E194" s="16"/>
      <c r="F194" s="16"/>
      <c r="G194" s="1"/>
      <c r="H194" s="1"/>
      <c r="I194" s="1"/>
      <c r="J194" s="1"/>
      <c r="K194" s="1"/>
      <c r="L194" s="16"/>
      <c r="M194" s="1"/>
      <c r="N194" s="1"/>
      <c r="O194" s="1"/>
      <c r="P194" s="140"/>
      <c r="Q194" s="1"/>
      <c r="R194" s="16"/>
      <c r="S194" s="1"/>
      <c r="T194" s="16"/>
      <c r="U194" s="140"/>
      <c r="V194" s="16"/>
      <c r="W194" s="16"/>
      <c r="X194" s="1"/>
      <c r="Y194" s="1"/>
      <c r="Z194" s="16"/>
      <c r="AA194" s="16"/>
      <c r="AB194" s="16"/>
      <c r="AC194" s="16"/>
      <c r="AD194" s="16"/>
      <c r="AE194" s="1"/>
      <c r="AF194" s="16"/>
      <c r="AG194" s="16"/>
      <c r="AH194" s="16"/>
      <c r="AI194" s="16"/>
    </row>
    <row r="195" ht="15.75" customHeight="1">
      <c r="A195" s="1"/>
      <c r="B195" s="1"/>
      <c r="C195" s="16"/>
      <c r="D195" s="1"/>
      <c r="E195" s="16"/>
      <c r="F195" s="16"/>
      <c r="G195" s="1"/>
      <c r="H195" s="1"/>
      <c r="I195" s="1"/>
      <c r="J195" s="1"/>
      <c r="K195" s="1"/>
      <c r="L195" s="16"/>
      <c r="M195" s="1"/>
      <c r="N195" s="1"/>
      <c r="O195" s="1"/>
      <c r="P195" s="140"/>
      <c r="Q195" s="1"/>
      <c r="R195" s="16"/>
      <c r="S195" s="1"/>
      <c r="T195" s="16"/>
      <c r="U195" s="140"/>
      <c r="V195" s="16"/>
      <c r="W195" s="16"/>
      <c r="X195" s="1"/>
      <c r="Y195" s="1"/>
      <c r="Z195" s="16"/>
      <c r="AA195" s="16"/>
      <c r="AB195" s="16"/>
      <c r="AC195" s="16"/>
      <c r="AD195" s="16"/>
      <c r="AE195" s="1"/>
      <c r="AF195" s="16"/>
      <c r="AG195" s="16"/>
      <c r="AH195" s="16"/>
      <c r="AI195" s="16"/>
    </row>
    <row r="196" ht="15.75" customHeight="1">
      <c r="A196" s="1"/>
      <c r="B196" s="1"/>
      <c r="C196" s="16"/>
      <c r="D196" s="1"/>
      <c r="E196" s="16"/>
      <c r="F196" s="16"/>
      <c r="G196" s="1"/>
      <c r="H196" s="1"/>
      <c r="I196" s="1"/>
      <c r="J196" s="1"/>
      <c r="K196" s="1"/>
      <c r="L196" s="16"/>
      <c r="M196" s="1"/>
      <c r="N196" s="1"/>
      <c r="O196" s="1"/>
      <c r="P196" s="140"/>
      <c r="Q196" s="1"/>
      <c r="R196" s="16"/>
      <c r="S196" s="1"/>
      <c r="T196" s="16"/>
      <c r="U196" s="140"/>
      <c r="V196" s="16"/>
      <c r="W196" s="16"/>
      <c r="X196" s="1"/>
      <c r="Y196" s="1"/>
      <c r="Z196" s="16"/>
      <c r="AA196" s="16"/>
      <c r="AB196" s="16"/>
      <c r="AC196" s="16"/>
      <c r="AD196" s="16"/>
      <c r="AE196" s="1"/>
      <c r="AF196" s="16"/>
      <c r="AG196" s="16"/>
      <c r="AH196" s="16"/>
      <c r="AI196" s="16"/>
    </row>
    <row r="197" ht="15.75" customHeight="1">
      <c r="A197" s="1"/>
      <c r="B197" s="1"/>
      <c r="C197" s="16"/>
      <c r="D197" s="1"/>
      <c r="E197" s="16"/>
      <c r="F197" s="16"/>
      <c r="G197" s="1"/>
      <c r="H197" s="1"/>
      <c r="I197" s="1"/>
      <c r="J197" s="1"/>
      <c r="K197" s="1"/>
      <c r="L197" s="16"/>
      <c r="M197" s="1"/>
      <c r="N197" s="1"/>
      <c r="O197" s="1"/>
      <c r="P197" s="140"/>
      <c r="Q197" s="1"/>
      <c r="R197" s="16"/>
      <c r="S197" s="1"/>
      <c r="T197" s="16"/>
      <c r="U197" s="140"/>
      <c r="V197" s="16"/>
      <c r="W197" s="16"/>
      <c r="X197" s="1"/>
      <c r="Y197" s="1"/>
      <c r="Z197" s="16"/>
      <c r="AA197" s="16"/>
      <c r="AB197" s="16"/>
      <c r="AC197" s="16"/>
      <c r="AD197" s="16"/>
      <c r="AE197" s="1"/>
      <c r="AF197" s="16"/>
      <c r="AG197" s="16"/>
      <c r="AH197" s="16"/>
      <c r="AI197" s="16"/>
    </row>
    <row r="198" ht="15.75" customHeight="1">
      <c r="A198" s="1"/>
      <c r="B198" s="1"/>
      <c r="C198" s="16"/>
      <c r="D198" s="1"/>
      <c r="E198" s="16"/>
      <c r="F198" s="16"/>
      <c r="G198" s="1"/>
      <c r="H198" s="1"/>
      <c r="I198" s="1"/>
      <c r="J198" s="1"/>
      <c r="K198" s="1"/>
      <c r="L198" s="16"/>
      <c r="M198" s="1"/>
      <c r="N198" s="1"/>
      <c r="O198" s="1"/>
      <c r="P198" s="140"/>
      <c r="Q198" s="1"/>
      <c r="R198" s="16"/>
      <c r="S198" s="1"/>
      <c r="T198" s="16"/>
      <c r="U198" s="140"/>
      <c r="V198" s="16"/>
      <c r="W198" s="16"/>
      <c r="X198" s="1"/>
      <c r="Y198" s="1"/>
      <c r="Z198" s="16"/>
      <c r="AA198" s="16"/>
      <c r="AB198" s="16"/>
      <c r="AC198" s="16"/>
      <c r="AD198" s="16"/>
      <c r="AE198" s="1"/>
      <c r="AF198" s="16"/>
      <c r="AG198" s="16"/>
      <c r="AH198" s="16"/>
      <c r="AI198" s="16"/>
    </row>
    <row r="199" ht="15.75" customHeight="1">
      <c r="A199" s="1"/>
      <c r="B199" s="1"/>
      <c r="C199" s="16"/>
      <c r="D199" s="1"/>
      <c r="E199" s="16"/>
      <c r="F199" s="16"/>
      <c r="G199" s="1"/>
      <c r="H199" s="1"/>
      <c r="I199" s="1"/>
      <c r="J199" s="1"/>
      <c r="K199" s="1"/>
      <c r="L199" s="16"/>
      <c r="M199" s="1"/>
      <c r="N199" s="1"/>
      <c r="O199" s="1"/>
      <c r="P199" s="140"/>
      <c r="Q199" s="1"/>
      <c r="R199" s="16"/>
      <c r="S199" s="1"/>
      <c r="T199" s="16"/>
      <c r="U199" s="140"/>
      <c r="V199" s="16"/>
      <c r="W199" s="16"/>
      <c r="X199" s="1"/>
      <c r="Y199" s="1"/>
      <c r="Z199" s="16"/>
      <c r="AA199" s="16"/>
      <c r="AB199" s="16"/>
      <c r="AC199" s="16"/>
      <c r="AD199" s="16"/>
      <c r="AE199" s="1"/>
      <c r="AF199" s="16"/>
      <c r="AG199" s="16"/>
      <c r="AH199" s="16"/>
      <c r="AI199" s="16"/>
    </row>
    <row r="200" ht="15.75" customHeight="1">
      <c r="A200" s="1"/>
      <c r="B200" s="1"/>
      <c r="C200" s="16"/>
      <c r="D200" s="1"/>
      <c r="E200" s="16"/>
      <c r="F200" s="16"/>
      <c r="G200" s="1"/>
      <c r="H200" s="1"/>
      <c r="I200" s="1"/>
      <c r="J200" s="1"/>
      <c r="K200" s="1"/>
      <c r="L200" s="16"/>
      <c r="M200" s="1"/>
      <c r="N200" s="1"/>
      <c r="O200" s="1"/>
      <c r="P200" s="140"/>
      <c r="Q200" s="1"/>
      <c r="R200" s="16"/>
      <c r="S200" s="1"/>
      <c r="T200" s="16"/>
      <c r="U200" s="140"/>
      <c r="V200" s="16"/>
      <c r="W200" s="16"/>
      <c r="X200" s="1"/>
      <c r="Y200" s="1"/>
      <c r="Z200" s="16"/>
      <c r="AA200" s="16"/>
      <c r="AB200" s="16"/>
      <c r="AC200" s="16"/>
      <c r="AD200" s="16"/>
      <c r="AE200" s="1"/>
      <c r="AF200" s="16"/>
      <c r="AG200" s="16"/>
      <c r="AH200" s="16"/>
      <c r="AI200" s="16"/>
    </row>
    <row r="201" ht="15.75" customHeight="1">
      <c r="A201" s="1"/>
      <c r="B201" s="1"/>
      <c r="C201" s="16"/>
      <c r="D201" s="1"/>
      <c r="E201" s="16"/>
      <c r="F201" s="16"/>
      <c r="G201" s="1"/>
      <c r="H201" s="1"/>
      <c r="I201" s="1"/>
      <c r="J201" s="1"/>
      <c r="K201" s="1"/>
      <c r="L201" s="16"/>
      <c r="M201" s="1"/>
      <c r="N201" s="1"/>
      <c r="O201" s="1"/>
      <c r="P201" s="140"/>
      <c r="Q201" s="1"/>
      <c r="R201" s="16"/>
      <c r="S201" s="1"/>
      <c r="T201" s="16"/>
      <c r="U201" s="140"/>
      <c r="V201" s="16"/>
      <c r="W201" s="16"/>
      <c r="X201" s="1"/>
      <c r="Y201" s="1"/>
      <c r="Z201" s="16"/>
      <c r="AA201" s="16"/>
      <c r="AB201" s="16"/>
      <c r="AC201" s="16"/>
      <c r="AD201" s="16"/>
      <c r="AE201" s="1"/>
      <c r="AF201" s="16"/>
      <c r="AG201" s="16"/>
      <c r="AH201" s="16"/>
      <c r="AI201" s="16"/>
    </row>
    <row r="202" ht="15.75" customHeight="1">
      <c r="A202" s="1"/>
      <c r="B202" s="1"/>
      <c r="C202" s="16"/>
      <c r="D202" s="1"/>
      <c r="E202" s="16"/>
      <c r="F202" s="16"/>
      <c r="G202" s="1"/>
      <c r="H202" s="1"/>
      <c r="I202" s="1"/>
      <c r="J202" s="1"/>
      <c r="K202" s="1"/>
      <c r="L202" s="16"/>
      <c r="M202" s="1"/>
      <c r="N202" s="1"/>
      <c r="O202" s="1"/>
      <c r="P202" s="140"/>
      <c r="Q202" s="1"/>
      <c r="R202" s="16"/>
      <c r="S202" s="1"/>
      <c r="T202" s="16"/>
      <c r="U202" s="140"/>
      <c r="V202" s="16"/>
      <c r="W202" s="16"/>
      <c r="X202" s="1"/>
      <c r="Y202" s="1"/>
      <c r="Z202" s="16"/>
      <c r="AA202" s="16"/>
      <c r="AB202" s="16"/>
      <c r="AC202" s="16"/>
      <c r="AD202" s="16"/>
      <c r="AE202" s="1"/>
      <c r="AF202" s="16"/>
      <c r="AG202" s="16"/>
      <c r="AH202" s="16"/>
      <c r="AI202" s="16"/>
    </row>
    <row r="203" ht="15.75" customHeight="1">
      <c r="A203" s="1"/>
      <c r="B203" s="1"/>
      <c r="C203" s="16"/>
      <c r="D203" s="1"/>
      <c r="E203" s="16"/>
      <c r="F203" s="16"/>
      <c r="G203" s="1"/>
      <c r="H203" s="1"/>
      <c r="I203" s="1"/>
      <c r="J203" s="1"/>
      <c r="K203" s="1"/>
      <c r="L203" s="16"/>
      <c r="M203" s="1"/>
      <c r="N203" s="1"/>
      <c r="O203" s="1"/>
      <c r="P203" s="140"/>
      <c r="Q203" s="1"/>
      <c r="R203" s="16"/>
      <c r="S203" s="1"/>
      <c r="T203" s="16"/>
      <c r="U203" s="140"/>
      <c r="V203" s="16"/>
      <c r="W203" s="16"/>
      <c r="X203" s="1"/>
      <c r="Y203" s="1"/>
      <c r="Z203" s="16"/>
      <c r="AA203" s="16"/>
      <c r="AB203" s="16"/>
      <c r="AC203" s="16"/>
      <c r="AD203" s="16"/>
      <c r="AE203" s="1"/>
      <c r="AF203" s="16"/>
      <c r="AG203" s="16"/>
      <c r="AH203" s="16"/>
      <c r="AI203" s="16"/>
    </row>
    <row r="204" ht="15.75" customHeight="1">
      <c r="A204" s="1"/>
      <c r="B204" s="1"/>
      <c r="C204" s="16"/>
      <c r="D204" s="1"/>
      <c r="E204" s="16"/>
      <c r="F204" s="16"/>
      <c r="G204" s="1"/>
      <c r="H204" s="1"/>
      <c r="I204" s="1"/>
      <c r="J204" s="1"/>
      <c r="K204" s="1"/>
      <c r="L204" s="16"/>
      <c r="M204" s="1"/>
      <c r="N204" s="1"/>
      <c r="O204" s="1"/>
      <c r="P204" s="140"/>
      <c r="Q204" s="1"/>
      <c r="R204" s="16"/>
      <c r="S204" s="1"/>
      <c r="T204" s="16"/>
      <c r="U204" s="140"/>
      <c r="V204" s="16"/>
      <c r="W204" s="16"/>
      <c r="X204" s="1"/>
      <c r="Y204" s="1"/>
      <c r="Z204" s="16"/>
      <c r="AA204" s="16"/>
      <c r="AB204" s="16"/>
      <c r="AC204" s="16"/>
      <c r="AD204" s="16"/>
      <c r="AE204" s="1"/>
      <c r="AF204" s="16"/>
      <c r="AG204" s="16"/>
      <c r="AH204" s="16"/>
      <c r="AI204" s="16"/>
    </row>
    <row r="205" ht="15.75" customHeight="1">
      <c r="A205" s="1"/>
      <c r="B205" s="1"/>
      <c r="C205" s="16"/>
      <c r="D205" s="1"/>
      <c r="E205" s="16"/>
      <c r="F205" s="16"/>
      <c r="G205" s="1"/>
      <c r="H205" s="1"/>
      <c r="I205" s="1"/>
      <c r="J205" s="1"/>
      <c r="K205" s="1"/>
      <c r="L205" s="16"/>
      <c r="M205" s="1"/>
      <c r="N205" s="1"/>
      <c r="O205" s="1"/>
      <c r="P205" s="140"/>
      <c r="Q205" s="1"/>
      <c r="R205" s="16"/>
      <c r="S205" s="1"/>
      <c r="T205" s="16"/>
      <c r="U205" s="140"/>
      <c r="V205" s="16"/>
      <c r="W205" s="16"/>
      <c r="X205" s="1"/>
      <c r="Y205" s="1"/>
      <c r="Z205" s="16"/>
      <c r="AA205" s="16"/>
      <c r="AB205" s="16"/>
      <c r="AC205" s="16"/>
      <c r="AD205" s="16"/>
      <c r="AE205" s="1"/>
      <c r="AF205" s="16"/>
      <c r="AG205" s="16"/>
      <c r="AH205" s="16"/>
      <c r="AI205" s="16"/>
    </row>
    <row r="206" ht="15.75" customHeight="1">
      <c r="A206" s="1"/>
      <c r="B206" s="1"/>
      <c r="C206" s="16"/>
      <c r="D206" s="1"/>
      <c r="E206" s="16"/>
      <c r="F206" s="16"/>
      <c r="G206" s="1"/>
      <c r="H206" s="1"/>
      <c r="I206" s="1"/>
      <c r="J206" s="1"/>
      <c r="K206" s="1"/>
      <c r="L206" s="16"/>
      <c r="M206" s="1"/>
      <c r="N206" s="1"/>
      <c r="O206" s="1"/>
      <c r="P206" s="140"/>
      <c r="Q206" s="1"/>
      <c r="R206" s="16"/>
      <c r="S206" s="1"/>
      <c r="T206" s="16"/>
      <c r="U206" s="140"/>
      <c r="V206" s="16"/>
      <c r="W206" s="16"/>
      <c r="X206" s="1"/>
      <c r="Y206" s="1"/>
      <c r="Z206" s="16"/>
      <c r="AA206" s="16"/>
      <c r="AB206" s="16"/>
      <c r="AC206" s="16"/>
      <c r="AD206" s="16"/>
      <c r="AE206" s="1"/>
      <c r="AF206" s="16"/>
      <c r="AG206" s="16"/>
      <c r="AH206" s="16"/>
      <c r="AI206" s="16"/>
    </row>
    <row r="207" ht="15.75" customHeight="1">
      <c r="A207" s="1"/>
      <c r="B207" s="1"/>
      <c r="C207" s="16"/>
      <c r="D207" s="1"/>
      <c r="E207" s="16"/>
      <c r="F207" s="16"/>
      <c r="G207" s="1"/>
      <c r="H207" s="1"/>
      <c r="I207" s="1"/>
      <c r="J207" s="1"/>
      <c r="K207" s="1"/>
      <c r="L207" s="16"/>
      <c r="M207" s="1"/>
      <c r="N207" s="1"/>
      <c r="O207" s="1"/>
      <c r="P207" s="140"/>
      <c r="Q207" s="1"/>
      <c r="R207" s="16"/>
      <c r="S207" s="1"/>
      <c r="T207" s="16"/>
      <c r="U207" s="140"/>
      <c r="V207" s="16"/>
      <c r="W207" s="16"/>
      <c r="X207" s="1"/>
      <c r="Y207" s="1"/>
      <c r="Z207" s="16"/>
      <c r="AA207" s="16"/>
      <c r="AB207" s="16"/>
      <c r="AC207" s="16"/>
      <c r="AD207" s="16"/>
      <c r="AE207" s="1"/>
      <c r="AF207" s="16"/>
      <c r="AG207" s="16"/>
      <c r="AH207" s="16"/>
      <c r="AI207" s="16"/>
    </row>
    <row r="208" ht="15.75" customHeight="1">
      <c r="A208" s="1"/>
      <c r="B208" s="1"/>
      <c r="C208" s="16"/>
      <c r="D208" s="1"/>
      <c r="E208" s="16"/>
      <c r="F208" s="16"/>
      <c r="G208" s="1"/>
      <c r="H208" s="1"/>
      <c r="I208" s="1"/>
      <c r="J208" s="1"/>
      <c r="K208" s="1"/>
      <c r="L208" s="16"/>
      <c r="M208" s="1"/>
      <c r="N208" s="1"/>
      <c r="O208" s="1"/>
      <c r="P208" s="140"/>
      <c r="Q208" s="1"/>
      <c r="R208" s="16"/>
      <c r="S208" s="1"/>
      <c r="T208" s="16"/>
      <c r="U208" s="140"/>
      <c r="V208" s="16"/>
      <c r="W208" s="16"/>
      <c r="X208" s="1"/>
      <c r="Y208" s="1"/>
      <c r="Z208" s="16"/>
      <c r="AA208" s="16"/>
      <c r="AB208" s="16"/>
      <c r="AC208" s="16"/>
      <c r="AD208" s="16"/>
      <c r="AE208" s="1"/>
      <c r="AF208" s="16"/>
      <c r="AG208" s="16"/>
      <c r="AH208" s="16"/>
      <c r="AI208" s="16"/>
    </row>
    <row r="209" ht="15.75" customHeight="1">
      <c r="A209" s="1"/>
      <c r="B209" s="1"/>
      <c r="C209" s="16"/>
      <c r="D209" s="1"/>
      <c r="E209" s="16"/>
      <c r="F209" s="16"/>
      <c r="G209" s="1"/>
      <c r="H209" s="1"/>
      <c r="I209" s="1"/>
      <c r="J209" s="1"/>
      <c r="K209" s="1"/>
      <c r="L209" s="16"/>
      <c r="M209" s="1"/>
      <c r="N209" s="1"/>
      <c r="O209" s="1"/>
      <c r="P209" s="140"/>
      <c r="Q209" s="1"/>
      <c r="R209" s="16"/>
      <c r="S209" s="1"/>
      <c r="T209" s="16"/>
      <c r="U209" s="140"/>
      <c r="V209" s="16"/>
      <c r="W209" s="16"/>
      <c r="X209" s="1"/>
      <c r="Y209" s="1"/>
      <c r="Z209" s="16"/>
      <c r="AA209" s="16"/>
      <c r="AB209" s="16"/>
      <c r="AC209" s="16"/>
      <c r="AD209" s="16"/>
      <c r="AE209" s="1"/>
      <c r="AF209" s="16"/>
      <c r="AG209" s="16"/>
      <c r="AH209" s="16"/>
      <c r="AI209" s="16"/>
    </row>
    <row r="210" ht="15.75" customHeight="1">
      <c r="A210" s="1"/>
      <c r="B210" s="1"/>
      <c r="C210" s="16"/>
      <c r="D210" s="1"/>
      <c r="E210" s="16"/>
      <c r="F210" s="16"/>
      <c r="G210" s="1"/>
      <c r="H210" s="1"/>
      <c r="I210" s="1"/>
      <c r="J210" s="1"/>
      <c r="K210" s="1"/>
      <c r="L210" s="16"/>
      <c r="M210" s="1"/>
      <c r="N210" s="1"/>
      <c r="O210" s="1"/>
      <c r="P210" s="140"/>
      <c r="Q210" s="1"/>
      <c r="R210" s="16"/>
      <c r="S210" s="1"/>
      <c r="T210" s="16"/>
      <c r="U210" s="140"/>
      <c r="V210" s="16"/>
      <c r="W210" s="16"/>
      <c r="X210" s="1"/>
      <c r="Y210" s="1"/>
      <c r="Z210" s="16"/>
      <c r="AA210" s="16"/>
      <c r="AB210" s="16"/>
      <c r="AC210" s="16"/>
      <c r="AD210" s="16"/>
      <c r="AE210" s="1"/>
      <c r="AF210" s="16"/>
      <c r="AG210" s="16"/>
      <c r="AH210" s="16"/>
      <c r="AI210" s="16"/>
    </row>
    <row r="211" ht="15.75" customHeight="1">
      <c r="A211" s="1"/>
      <c r="B211" s="1"/>
      <c r="C211" s="16"/>
      <c r="D211" s="1"/>
      <c r="E211" s="16"/>
      <c r="F211" s="16"/>
      <c r="G211" s="1"/>
      <c r="H211" s="1"/>
      <c r="I211" s="1"/>
      <c r="J211" s="1"/>
      <c r="K211" s="1"/>
      <c r="L211" s="16"/>
      <c r="M211" s="1"/>
      <c r="N211" s="1"/>
      <c r="O211" s="1"/>
      <c r="P211" s="140"/>
      <c r="Q211" s="1"/>
      <c r="R211" s="16"/>
      <c r="S211" s="1"/>
      <c r="T211" s="16"/>
      <c r="U211" s="140"/>
      <c r="V211" s="16"/>
      <c r="W211" s="16"/>
      <c r="X211" s="1"/>
      <c r="Y211" s="1"/>
      <c r="Z211" s="16"/>
      <c r="AA211" s="16"/>
      <c r="AB211" s="16"/>
      <c r="AC211" s="16"/>
      <c r="AD211" s="16"/>
      <c r="AE211" s="1"/>
      <c r="AF211" s="16"/>
      <c r="AG211" s="16"/>
      <c r="AH211" s="16"/>
      <c r="AI211" s="16"/>
    </row>
    <row r="212" ht="15.75" customHeight="1">
      <c r="A212" s="1"/>
      <c r="B212" s="1"/>
      <c r="C212" s="16"/>
      <c r="D212" s="1"/>
      <c r="E212" s="16"/>
      <c r="F212" s="16"/>
      <c r="G212" s="1"/>
      <c r="H212" s="1"/>
      <c r="I212" s="1"/>
      <c r="J212" s="1"/>
      <c r="K212" s="1"/>
      <c r="L212" s="16"/>
      <c r="M212" s="1"/>
      <c r="N212" s="1"/>
      <c r="O212" s="1"/>
      <c r="P212" s="140"/>
      <c r="Q212" s="1"/>
      <c r="R212" s="16"/>
      <c r="S212" s="1"/>
      <c r="T212" s="16"/>
      <c r="U212" s="140"/>
      <c r="V212" s="16"/>
      <c r="W212" s="16"/>
      <c r="X212" s="1"/>
      <c r="Y212" s="1"/>
      <c r="Z212" s="16"/>
      <c r="AA212" s="16"/>
      <c r="AB212" s="16"/>
      <c r="AC212" s="16"/>
      <c r="AD212" s="16"/>
      <c r="AE212" s="1"/>
      <c r="AF212" s="16"/>
      <c r="AG212" s="16"/>
      <c r="AH212" s="16"/>
      <c r="AI212" s="16"/>
    </row>
    <row r="213" ht="15.75" customHeight="1">
      <c r="A213" s="1"/>
      <c r="B213" s="1"/>
      <c r="C213" s="16"/>
      <c r="D213" s="1"/>
      <c r="E213" s="16"/>
      <c r="F213" s="16"/>
      <c r="G213" s="1"/>
      <c r="H213" s="1"/>
      <c r="I213" s="1"/>
      <c r="J213" s="1"/>
      <c r="K213" s="1"/>
      <c r="L213" s="16"/>
      <c r="M213" s="1"/>
      <c r="N213" s="1"/>
      <c r="O213" s="1"/>
      <c r="P213" s="140"/>
      <c r="Q213" s="1"/>
      <c r="R213" s="16"/>
      <c r="S213" s="1"/>
      <c r="T213" s="16"/>
      <c r="U213" s="140"/>
      <c r="V213" s="16"/>
      <c r="W213" s="16"/>
      <c r="X213" s="1"/>
      <c r="Y213" s="1"/>
      <c r="Z213" s="16"/>
      <c r="AA213" s="16"/>
      <c r="AB213" s="16"/>
      <c r="AC213" s="16"/>
      <c r="AD213" s="16"/>
      <c r="AE213" s="1"/>
      <c r="AF213" s="16"/>
      <c r="AG213" s="16"/>
      <c r="AH213" s="16"/>
      <c r="AI213" s="16"/>
    </row>
    <row r="214" ht="15.75" customHeight="1">
      <c r="A214" s="1"/>
      <c r="B214" s="1"/>
      <c r="C214" s="16"/>
      <c r="D214" s="1"/>
      <c r="E214" s="16"/>
      <c r="F214" s="16"/>
      <c r="G214" s="1"/>
      <c r="H214" s="1"/>
      <c r="I214" s="1"/>
      <c r="J214" s="1"/>
      <c r="K214" s="1"/>
      <c r="L214" s="16"/>
      <c r="M214" s="1"/>
      <c r="N214" s="1"/>
      <c r="O214" s="1"/>
      <c r="P214" s="140"/>
      <c r="Q214" s="1"/>
      <c r="R214" s="16"/>
      <c r="S214" s="1"/>
      <c r="T214" s="16"/>
      <c r="U214" s="140"/>
      <c r="V214" s="16"/>
      <c r="W214" s="16"/>
      <c r="X214" s="1"/>
      <c r="Y214" s="1"/>
      <c r="Z214" s="16"/>
      <c r="AA214" s="16"/>
      <c r="AB214" s="16"/>
      <c r="AC214" s="16"/>
      <c r="AD214" s="16"/>
      <c r="AE214" s="1"/>
      <c r="AF214" s="16"/>
      <c r="AG214" s="16"/>
      <c r="AH214" s="16"/>
      <c r="AI214" s="16"/>
    </row>
    <row r="215" ht="15.75" customHeight="1">
      <c r="A215" s="1"/>
      <c r="B215" s="1"/>
      <c r="C215" s="16"/>
      <c r="D215" s="1"/>
      <c r="E215" s="16"/>
      <c r="F215" s="16"/>
      <c r="G215" s="1"/>
      <c r="H215" s="1"/>
      <c r="I215" s="1"/>
      <c r="J215" s="1"/>
      <c r="K215" s="1"/>
      <c r="L215" s="16"/>
      <c r="M215" s="1"/>
      <c r="N215" s="1"/>
      <c r="O215" s="1"/>
      <c r="P215" s="140"/>
      <c r="Q215" s="1"/>
      <c r="R215" s="16"/>
      <c r="S215" s="1"/>
      <c r="T215" s="16"/>
      <c r="U215" s="140"/>
      <c r="V215" s="16"/>
      <c r="W215" s="16"/>
      <c r="X215" s="1"/>
      <c r="Y215" s="1"/>
      <c r="Z215" s="16"/>
      <c r="AA215" s="16"/>
      <c r="AB215" s="16"/>
      <c r="AC215" s="16"/>
      <c r="AD215" s="16"/>
      <c r="AE215" s="1"/>
      <c r="AF215" s="16"/>
      <c r="AG215" s="16"/>
      <c r="AH215" s="16"/>
      <c r="AI215" s="16"/>
    </row>
    <row r="216" ht="15.75" customHeight="1">
      <c r="A216" s="1"/>
      <c r="B216" s="1"/>
      <c r="C216" s="16"/>
      <c r="D216" s="1"/>
      <c r="E216" s="16"/>
      <c r="F216" s="16"/>
      <c r="G216" s="1"/>
      <c r="H216" s="1"/>
      <c r="I216" s="1"/>
      <c r="J216" s="1"/>
      <c r="K216" s="1"/>
      <c r="L216" s="16"/>
      <c r="M216" s="1"/>
      <c r="N216" s="1"/>
      <c r="O216" s="1"/>
      <c r="P216" s="140"/>
      <c r="Q216" s="1"/>
      <c r="R216" s="16"/>
      <c r="S216" s="1"/>
      <c r="T216" s="16"/>
      <c r="U216" s="140"/>
      <c r="V216" s="16"/>
      <c r="W216" s="16"/>
      <c r="X216" s="1"/>
      <c r="Y216" s="1"/>
      <c r="Z216" s="16"/>
      <c r="AA216" s="16"/>
      <c r="AB216" s="16"/>
      <c r="AC216" s="16"/>
      <c r="AD216" s="16"/>
      <c r="AE216" s="1"/>
      <c r="AF216" s="16"/>
      <c r="AG216" s="16"/>
      <c r="AH216" s="16"/>
      <c r="AI216" s="16"/>
    </row>
    <row r="217" ht="15.75" customHeight="1">
      <c r="A217" s="1"/>
      <c r="B217" s="1"/>
      <c r="C217" s="16"/>
      <c r="D217" s="1"/>
      <c r="E217" s="16"/>
      <c r="F217" s="16"/>
      <c r="G217" s="1"/>
      <c r="H217" s="1"/>
      <c r="I217" s="1"/>
      <c r="J217" s="1"/>
      <c r="K217" s="1"/>
      <c r="L217" s="16"/>
      <c r="M217" s="1"/>
      <c r="N217" s="1"/>
      <c r="O217" s="1"/>
      <c r="P217" s="140"/>
      <c r="Q217" s="1"/>
      <c r="R217" s="16"/>
      <c r="S217" s="1"/>
      <c r="T217" s="16"/>
      <c r="U217" s="140"/>
      <c r="V217" s="16"/>
      <c r="W217" s="16"/>
      <c r="X217" s="1"/>
      <c r="Y217" s="1"/>
      <c r="Z217" s="16"/>
      <c r="AA217" s="16"/>
      <c r="AB217" s="16"/>
      <c r="AC217" s="16"/>
      <c r="AD217" s="16"/>
      <c r="AE217" s="1"/>
      <c r="AF217" s="16"/>
      <c r="AG217" s="16"/>
      <c r="AH217" s="16"/>
      <c r="AI217" s="16"/>
    </row>
    <row r="218" ht="15.75" customHeight="1">
      <c r="A218" s="1"/>
      <c r="B218" s="1"/>
      <c r="C218" s="16"/>
      <c r="D218" s="1"/>
      <c r="E218" s="16"/>
      <c r="F218" s="16"/>
      <c r="G218" s="1"/>
      <c r="H218" s="1"/>
      <c r="I218" s="1"/>
      <c r="J218" s="1"/>
      <c r="K218" s="1"/>
      <c r="L218" s="16"/>
      <c r="M218" s="1"/>
      <c r="N218" s="1"/>
      <c r="O218" s="1"/>
      <c r="P218" s="140"/>
      <c r="Q218" s="1"/>
      <c r="R218" s="16"/>
      <c r="S218" s="1"/>
      <c r="T218" s="16"/>
      <c r="U218" s="140"/>
      <c r="V218" s="16"/>
      <c r="W218" s="16"/>
      <c r="X218" s="1"/>
      <c r="Y218" s="1"/>
      <c r="Z218" s="16"/>
      <c r="AA218" s="16"/>
      <c r="AB218" s="16"/>
      <c r="AC218" s="16"/>
      <c r="AD218" s="16"/>
      <c r="AE218" s="1"/>
      <c r="AF218" s="16"/>
      <c r="AG218" s="16"/>
      <c r="AH218" s="16"/>
      <c r="AI218" s="16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AX1:AY2"/>
    <mergeCell ref="AZ1:BA2"/>
    <mergeCell ref="AJ1:AK2"/>
    <mergeCell ref="AL1:AM2"/>
    <mergeCell ref="AN1:AO2"/>
    <mergeCell ref="AP1:AQ2"/>
    <mergeCell ref="AR1:AS2"/>
    <mergeCell ref="AT1:AU2"/>
    <mergeCell ref="AV1:AW2"/>
  </mergeCells>
  <printOptions/>
  <pageMargins bottom="1.0" footer="0.0" header="0.0" left="0.75" right="0.75" top="1.0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 ht="14.25" customHeight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179</v>
      </c>
    </row>
    <row r="2" ht="14.25" customHeight="1">
      <c r="A2" s="1" t="s">
        <v>10</v>
      </c>
      <c r="B2" s="1">
        <v>1234.0</v>
      </c>
      <c r="C2" s="1" t="s">
        <v>13</v>
      </c>
      <c r="D2" s="1" t="s">
        <v>209</v>
      </c>
      <c r="E2" s="1" t="s">
        <v>210</v>
      </c>
      <c r="F2" s="1" t="s">
        <v>211</v>
      </c>
    </row>
    <row r="3" ht="14.25" customHeight="1">
      <c r="A3" s="1" t="s">
        <v>212</v>
      </c>
      <c r="B3" s="1">
        <v>4321.0</v>
      </c>
      <c r="C3" s="1" t="s">
        <v>213</v>
      </c>
      <c r="D3" s="1" t="s">
        <v>214</v>
      </c>
      <c r="E3" s="1" t="s">
        <v>210</v>
      </c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 ht="14.25" customHeight="1">
      <c r="A1" s="141" t="s">
        <v>215</v>
      </c>
      <c r="B1" s="141" t="s">
        <v>216</v>
      </c>
      <c r="C1" s="141" t="s">
        <v>217</v>
      </c>
      <c r="D1" s="141" t="s">
        <v>218</v>
      </c>
      <c r="E1" s="141" t="s">
        <v>219</v>
      </c>
      <c r="F1" s="142"/>
    </row>
    <row r="2" ht="14.25" customHeight="1">
      <c r="A2" s="141" t="s">
        <v>177</v>
      </c>
      <c r="B2" s="141" t="s">
        <v>193</v>
      </c>
      <c r="C2" s="141" t="s">
        <v>193</v>
      </c>
      <c r="D2" s="141" t="s">
        <v>220</v>
      </c>
      <c r="E2" s="141" t="s">
        <v>221</v>
      </c>
      <c r="F2" s="142"/>
    </row>
    <row r="3" ht="14.25" customHeight="1">
      <c r="A3" s="141" t="s">
        <v>177</v>
      </c>
      <c r="B3" s="141" t="s">
        <v>191</v>
      </c>
      <c r="C3" s="141" t="s">
        <v>191</v>
      </c>
      <c r="D3" s="141" t="s">
        <v>222</v>
      </c>
      <c r="E3" s="141" t="s">
        <v>223</v>
      </c>
      <c r="F3" s="142"/>
    </row>
    <row r="4" ht="14.25" customHeight="1">
      <c r="A4" s="141" t="s">
        <v>177</v>
      </c>
      <c r="B4" s="141" t="s">
        <v>224</v>
      </c>
      <c r="C4" s="141" t="s">
        <v>224</v>
      </c>
      <c r="D4" s="141" t="s">
        <v>225</v>
      </c>
      <c r="E4" s="141" t="s">
        <v>226</v>
      </c>
      <c r="F4" s="142"/>
    </row>
    <row r="5" ht="14.25" customHeight="1">
      <c r="A5" s="141" t="s">
        <v>176</v>
      </c>
      <c r="B5" s="141" t="s">
        <v>123</v>
      </c>
      <c r="C5" s="141" t="s">
        <v>123</v>
      </c>
      <c r="D5" s="141" t="s">
        <v>227</v>
      </c>
      <c r="E5" s="141" t="s">
        <v>228</v>
      </c>
      <c r="F5" s="142"/>
    </row>
    <row r="6" ht="14.25" customHeight="1">
      <c r="A6" s="141" t="s">
        <v>176</v>
      </c>
      <c r="B6" s="141" t="s">
        <v>229</v>
      </c>
      <c r="C6" s="141" t="s">
        <v>229</v>
      </c>
      <c r="D6" s="141" t="s">
        <v>230</v>
      </c>
      <c r="E6" s="141" t="s">
        <v>231</v>
      </c>
      <c r="F6" s="142"/>
    </row>
    <row r="7" ht="14.25" customHeight="1">
      <c r="A7" s="141" t="s">
        <v>176</v>
      </c>
      <c r="B7" s="141" t="s">
        <v>190</v>
      </c>
      <c r="C7" s="141" t="s">
        <v>190</v>
      </c>
      <c r="D7" s="141" t="s">
        <v>232</v>
      </c>
      <c r="E7" s="141" t="s">
        <v>233</v>
      </c>
      <c r="F7" s="142"/>
    </row>
    <row r="8" ht="14.25" customHeight="1">
      <c r="A8" s="141" t="s">
        <v>178</v>
      </c>
      <c r="B8" s="141" t="s">
        <v>234</v>
      </c>
      <c r="C8" s="141" t="s">
        <v>235</v>
      </c>
      <c r="D8" s="141" t="s">
        <v>236</v>
      </c>
      <c r="E8" s="141" t="s">
        <v>237</v>
      </c>
      <c r="F8" s="142"/>
    </row>
    <row r="9" ht="14.25" customHeight="1">
      <c r="A9" s="141" t="s">
        <v>178</v>
      </c>
      <c r="B9" s="141" t="s">
        <v>238</v>
      </c>
      <c r="C9" s="141" t="s">
        <v>239</v>
      </c>
      <c r="D9" s="141" t="s">
        <v>240</v>
      </c>
      <c r="E9" s="141" t="s">
        <v>241</v>
      </c>
      <c r="F9" s="142"/>
    </row>
    <row r="10" ht="14.25" customHeight="1">
      <c r="A10" s="141" t="s">
        <v>178</v>
      </c>
      <c r="B10" s="141" t="s">
        <v>192</v>
      </c>
      <c r="C10" s="141" t="s">
        <v>191</v>
      </c>
      <c r="D10" s="141" t="s">
        <v>242</v>
      </c>
      <c r="E10" s="141" t="s">
        <v>243</v>
      </c>
      <c r="F10" s="142"/>
    </row>
    <row r="11" ht="14.25" customHeight="1">
      <c r="A11" s="141" t="s">
        <v>182</v>
      </c>
      <c r="B11" s="141" t="s">
        <v>193</v>
      </c>
      <c r="C11" s="141" t="s">
        <v>193</v>
      </c>
      <c r="D11" s="141" t="s">
        <v>244</v>
      </c>
      <c r="E11" s="141" t="s">
        <v>245</v>
      </c>
      <c r="F11" s="142"/>
    </row>
    <row r="12" ht="14.25" customHeight="1">
      <c r="A12" s="141" t="s">
        <v>182</v>
      </c>
      <c r="B12" s="141" t="s">
        <v>246</v>
      </c>
      <c r="C12" s="141" t="s">
        <v>246</v>
      </c>
      <c r="D12" s="141" t="s">
        <v>247</v>
      </c>
      <c r="E12" s="141" t="s">
        <v>248</v>
      </c>
      <c r="F12" s="142"/>
    </row>
    <row r="13">
      <c r="A13" s="142"/>
      <c r="B13" s="142"/>
      <c r="C13" s="142"/>
      <c r="D13" s="142"/>
      <c r="E13" s="142"/>
      <c r="F13" s="142"/>
    </row>
    <row r="14">
      <c r="A14" s="142"/>
      <c r="B14" s="142"/>
      <c r="C14" s="142"/>
      <c r="D14" s="142"/>
      <c r="E14" s="142"/>
      <c r="F14" s="142"/>
    </row>
    <row r="15">
      <c r="A15" s="142"/>
      <c r="B15" s="142"/>
      <c r="C15" s="142"/>
      <c r="D15" s="142"/>
      <c r="E15" s="142"/>
      <c r="F15" s="142"/>
    </row>
    <row r="16">
      <c r="A16" s="142"/>
      <c r="B16" s="142"/>
      <c r="C16" s="142"/>
      <c r="D16" s="142"/>
      <c r="E16" s="142"/>
      <c r="F16" s="142"/>
    </row>
    <row r="17">
      <c r="A17" s="142"/>
      <c r="B17" s="142"/>
      <c r="C17" s="142"/>
      <c r="D17" s="142"/>
      <c r="E17" s="142"/>
      <c r="F17" s="142"/>
    </row>
    <row r="18">
      <c r="A18" s="142"/>
      <c r="B18" s="142"/>
      <c r="C18" s="142"/>
      <c r="D18" s="142"/>
      <c r="E18" s="142"/>
      <c r="F18" s="142"/>
    </row>
    <row r="19">
      <c r="A19" s="142"/>
      <c r="B19" s="142"/>
      <c r="C19" s="142"/>
      <c r="D19" s="142"/>
      <c r="E19" s="142"/>
      <c r="F19" s="142"/>
    </row>
    <row r="20">
      <c r="A20" s="142"/>
      <c r="B20" s="142"/>
      <c r="C20" s="142"/>
      <c r="D20" s="142"/>
      <c r="E20" s="142"/>
      <c r="F20" s="142"/>
    </row>
    <row r="21" ht="15.75" customHeight="1">
      <c r="A21" s="142"/>
      <c r="B21" s="142"/>
      <c r="C21" s="142"/>
      <c r="D21" s="142"/>
      <c r="E21" s="142"/>
      <c r="F21" s="142"/>
    </row>
    <row r="22" ht="15.75" customHeight="1">
      <c r="A22" s="142"/>
      <c r="B22" s="142"/>
      <c r="C22" s="142"/>
      <c r="D22" s="142"/>
      <c r="E22" s="142"/>
      <c r="F22" s="142"/>
    </row>
    <row r="23" ht="15.75" customHeight="1">
      <c r="A23" s="142"/>
      <c r="B23" s="142"/>
      <c r="C23" s="142"/>
      <c r="D23" s="142"/>
      <c r="E23" s="142"/>
      <c r="F23" s="142"/>
    </row>
    <row r="24" ht="15.75" customHeight="1">
      <c r="A24" s="142"/>
      <c r="B24" s="142"/>
      <c r="C24" s="142"/>
      <c r="D24" s="142"/>
      <c r="E24" s="142"/>
      <c r="F24" s="142"/>
    </row>
    <row r="25" ht="15.75" customHeight="1">
      <c r="A25" s="142"/>
      <c r="B25" s="142"/>
      <c r="C25" s="142"/>
      <c r="D25" s="142"/>
      <c r="E25" s="142"/>
      <c r="F25" s="142"/>
    </row>
    <row r="26" ht="15.75" customHeight="1">
      <c r="A26" s="142"/>
      <c r="B26" s="142"/>
      <c r="C26" s="142"/>
      <c r="D26" s="142"/>
      <c r="E26" s="142"/>
      <c r="F26" s="142"/>
    </row>
    <row r="27" ht="15.75" customHeight="1">
      <c r="A27" s="142"/>
      <c r="B27" s="142"/>
      <c r="C27" s="142"/>
      <c r="D27" s="142"/>
      <c r="E27" s="142"/>
      <c r="F27" s="142"/>
    </row>
    <row r="28" ht="15.75" customHeight="1">
      <c r="A28" s="142"/>
      <c r="B28" s="142"/>
      <c r="C28" s="142"/>
      <c r="D28" s="142"/>
      <c r="E28" s="142"/>
      <c r="F28" s="142"/>
    </row>
    <row r="29" ht="15.75" customHeight="1">
      <c r="A29" s="142"/>
      <c r="B29" s="142"/>
      <c r="C29" s="142"/>
      <c r="D29" s="142"/>
      <c r="E29" s="142"/>
      <c r="F29" s="142"/>
    </row>
    <row r="30" ht="15.75" customHeight="1">
      <c r="A30" s="142"/>
      <c r="B30" s="142"/>
      <c r="C30" s="142"/>
      <c r="D30" s="142"/>
      <c r="E30" s="142"/>
      <c r="F30" s="142"/>
    </row>
    <row r="31" ht="15.75" customHeight="1">
      <c r="A31" s="142"/>
      <c r="B31" s="142"/>
      <c r="C31" s="142"/>
      <c r="D31" s="142"/>
      <c r="E31" s="142"/>
      <c r="F31" s="142"/>
    </row>
    <row r="32" ht="15.75" customHeight="1">
      <c r="A32" s="142"/>
      <c r="B32" s="142"/>
      <c r="C32" s="142"/>
      <c r="D32" s="142"/>
      <c r="E32" s="142"/>
      <c r="F32" s="142"/>
    </row>
    <row r="33" ht="15.75" customHeight="1">
      <c r="A33" s="142"/>
      <c r="B33" s="142"/>
      <c r="C33" s="142"/>
      <c r="D33" s="142"/>
      <c r="E33" s="142"/>
      <c r="F33" s="142"/>
    </row>
    <row r="34" ht="15.75" customHeight="1">
      <c r="A34" s="142"/>
      <c r="B34" s="142"/>
      <c r="C34" s="142"/>
      <c r="D34" s="142"/>
      <c r="E34" s="142"/>
      <c r="F34" s="142"/>
    </row>
    <row r="35" ht="15.75" customHeight="1">
      <c r="A35" s="142"/>
      <c r="B35" s="142"/>
      <c r="C35" s="142"/>
      <c r="D35" s="142"/>
      <c r="E35" s="142"/>
      <c r="F35" s="142"/>
    </row>
    <row r="36" ht="15.75" customHeight="1">
      <c r="A36" s="142"/>
      <c r="B36" s="142"/>
      <c r="C36" s="142"/>
      <c r="D36" s="142"/>
      <c r="E36" s="142"/>
      <c r="F36" s="142"/>
    </row>
    <row r="37" ht="15.75" customHeight="1">
      <c r="A37" s="142"/>
      <c r="B37" s="142"/>
      <c r="C37" s="142"/>
      <c r="D37" s="142"/>
      <c r="E37" s="142"/>
      <c r="F37" s="142"/>
    </row>
    <row r="38" ht="15.75" customHeight="1">
      <c r="A38" s="142"/>
      <c r="B38" s="142"/>
      <c r="C38" s="142"/>
      <c r="D38" s="142"/>
      <c r="E38" s="142"/>
      <c r="F38" s="142"/>
    </row>
    <row r="39" ht="15.75" customHeight="1">
      <c r="A39" s="142"/>
      <c r="B39" s="142"/>
      <c r="C39" s="142"/>
      <c r="D39" s="142"/>
      <c r="E39" s="142"/>
      <c r="F39" s="142"/>
    </row>
    <row r="40" ht="15.75" customHeight="1">
      <c r="A40" s="142"/>
      <c r="B40" s="142"/>
      <c r="C40" s="142"/>
      <c r="D40" s="142"/>
      <c r="E40" s="142"/>
      <c r="F40" s="142"/>
    </row>
    <row r="41" ht="15.75" customHeight="1">
      <c r="A41" s="142"/>
      <c r="B41" s="142"/>
      <c r="C41" s="142"/>
      <c r="D41" s="142"/>
      <c r="E41" s="142"/>
      <c r="F41" s="142"/>
    </row>
    <row r="42" ht="15.75" customHeight="1">
      <c r="A42" s="142"/>
      <c r="B42" s="142"/>
      <c r="C42" s="142"/>
      <c r="D42" s="142"/>
      <c r="E42" s="142"/>
      <c r="F42" s="142"/>
    </row>
    <row r="43" ht="15.75" customHeight="1">
      <c r="A43" s="142"/>
      <c r="B43" s="142"/>
      <c r="C43" s="142"/>
      <c r="D43" s="142"/>
      <c r="E43" s="142"/>
      <c r="F43" s="142"/>
    </row>
    <row r="44" ht="15.75" customHeight="1">
      <c r="A44" s="142"/>
      <c r="B44" s="142"/>
      <c r="C44" s="142"/>
      <c r="D44" s="142"/>
      <c r="E44" s="142"/>
      <c r="F44" s="142"/>
    </row>
    <row r="45" ht="15.75" customHeight="1">
      <c r="A45" s="142"/>
      <c r="B45" s="142"/>
      <c r="C45" s="142"/>
      <c r="D45" s="142"/>
      <c r="E45" s="142"/>
      <c r="F45" s="142"/>
    </row>
    <row r="46" ht="15.75" customHeight="1">
      <c r="A46" s="142"/>
      <c r="B46" s="142"/>
      <c r="C46" s="142"/>
      <c r="D46" s="142"/>
      <c r="E46" s="142"/>
      <c r="F46" s="142"/>
    </row>
    <row r="47" ht="15.75" customHeight="1">
      <c r="A47" s="142"/>
      <c r="B47" s="142"/>
      <c r="C47" s="142"/>
      <c r="D47" s="142"/>
      <c r="E47" s="142"/>
      <c r="F47" s="142"/>
    </row>
    <row r="48" ht="15.75" customHeight="1">
      <c r="A48" s="142"/>
      <c r="B48" s="142"/>
      <c r="C48" s="142"/>
      <c r="D48" s="142"/>
      <c r="E48" s="142"/>
      <c r="F48" s="142"/>
    </row>
    <row r="49" ht="15.75" customHeight="1">
      <c r="A49" s="142"/>
      <c r="B49" s="142"/>
      <c r="C49" s="142"/>
      <c r="D49" s="142"/>
      <c r="E49" s="142"/>
      <c r="F49" s="142"/>
    </row>
    <row r="50" ht="15.75" customHeight="1">
      <c r="A50" s="142"/>
      <c r="B50" s="142"/>
      <c r="C50" s="142"/>
      <c r="D50" s="142"/>
      <c r="E50" s="142"/>
      <c r="F50" s="142"/>
    </row>
    <row r="51" ht="15.75" customHeight="1">
      <c r="A51" s="142"/>
      <c r="B51" s="142"/>
      <c r="C51" s="142"/>
      <c r="D51" s="142"/>
      <c r="E51" s="142"/>
      <c r="F51" s="142"/>
    </row>
    <row r="52" ht="15.75" customHeight="1">
      <c r="A52" s="142"/>
      <c r="B52" s="142"/>
      <c r="C52" s="142"/>
      <c r="D52" s="142"/>
      <c r="E52" s="142"/>
      <c r="F52" s="142"/>
    </row>
    <row r="53" ht="15.75" customHeight="1">
      <c r="A53" s="142"/>
      <c r="B53" s="142"/>
      <c r="C53" s="142"/>
      <c r="D53" s="142"/>
      <c r="E53" s="142"/>
      <c r="F53" s="142"/>
    </row>
    <row r="54" ht="15.75" customHeight="1">
      <c r="A54" s="142"/>
      <c r="B54" s="142"/>
      <c r="C54" s="142"/>
      <c r="D54" s="142"/>
      <c r="E54" s="142"/>
      <c r="F54" s="142"/>
    </row>
    <row r="55" ht="15.75" customHeight="1">
      <c r="A55" s="142"/>
      <c r="B55" s="142"/>
      <c r="C55" s="142"/>
      <c r="D55" s="142"/>
      <c r="E55" s="142"/>
      <c r="F55" s="142"/>
    </row>
    <row r="56" ht="15.75" customHeight="1">
      <c r="A56" s="142"/>
      <c r="B56" s="142"/>
      <c r="C56" s="142"/>
      <c r="D56" s="142"/>
      <c r="E56" s="142"/>
      <c r="F56" s="142"/>
    </row>
    <row r="57" ht="15.75" customHeight="1">
      <c r="A57" s="142"/>
      <c r="B57" s="142"/>
      <c r="C57" s="142"/>
      <c r="D57" s="142"/>
      <c r="E57" s="142"/>
      <c r="F57" s="142"/>
    </row>
    <row r="58" ht="15.75" customHeight="1">
      <c r="A58" s="142"/>
      <c r="B58" s="142"/>
      <c r="C58" s="142"/>
      <c r="D58" s="142"/>
      <c r="E58" s="142"/>
      <c r="F58" s="142"/>
    </row>
    <row r="59" ht="15.75" customHeight="1">
      <c r="A59" s="142"/>
      <c r="B59" s="142"/>
      <c r="C59" s="142"/>
      <c r="D59" s="142"/>
      <c r="E59" s="142"/>
      <c r="F59" s="142"/>
    </row>
    <row r="60" ht="15.75" customHeight="1">
      <c r="A60" s="142"/>
      <c r="B60" s="142"/>
      <c r="C60" s="142"/>
      <c r="D60" s="142"/>
      <c r="E60" s="142"/>
      <c r="F60" s="142"/>
    </row>
    <row r="61" ht="15.75" customHeight="1">
      <c r="A61" s="142"/>
      <c r="B61" s="142"/>
      <c r="C61" s="142"/>
      <c r="D61" s="142"/>
      <c r="E61" s="142"/>
      <c r="F61" s="142"/>
    </row>
    <row r="62" ht="15.75" customHeight="1">
      <c r="A62" s="142"/>
      <c r="B62" s="142"/>
      <c r="C62" s="142"/>
      <c r="D62" s="142"/>
      <c r="E62" s="142"/>
      <c r="F62" s="142"/>
    </row>
    <row r="63" ht="15.75" customHeight="1">
      <c r="A63" s="142"/>
      <c r="B63" s="142"/>
      <c r="C63" s="142"/>
      <c r="D63" s="142"/>
      <c r="E63" s="142"/>
      <c r="F63" s="142"/>
    </row>
    <row r="64" ht="15.75" customHeight="1">
      <c r="A64" s="142"/>
      <c r="B64" s="142"/>
      <c r="C64" s="142"/>
      <c r="D64" s="142"/>
      <c r="E64" s="142"/>
      <c r="F64" s="142"/>
    </row>
    <row r="65" ht="15.75" customHeight="1">
      <c r="A65" s="142"/>
      <c r="B65" s="142"/>
      <c r="C65" s="142"/>
      <c r="D65" s="142"/>
      <c r="E65" s="142"/>
      <c r="F65" s="142"/>
    </row>
    <row r="66" ht="15.75" customHeight="1">
      <c r="A66" s="142"/>
      <c r="B66" s="142"/>
      <c r="C66" s="142"/>
      <c r="D66" s="142"/>
      <c r="E66" s="142"/>
      <c r="F66" s="142"/>
    </row>
    <row r="67" ht="15.75" customHeight="1">
      <c r="A67" s="142"/>
      <c r="B67" s="142"/>
      <c r="C67" s="142"/>
      <c r="D67" s="142"/>
      <c r="E67" s="142"/>
      <c r="F67" s="142"/>
    </row>
    <row r="68" ht="15.75" customHeight="1">
      <c r="A68" s="142"/>
      <c r="B68" s="142"/>
      <c r="C68" s="142"/>
      <c r="D68" s="142"/>
      <c r="E68" s="142"/>
      <c r="F68" s="142"/>
    </row>
    <row r="69" ht="15.75" customHeight="1">
      <c r="A69" s="142"/>
      <c r="B69" s="142"/>
      <c r="C69" s="142"/>
      <c r="D69" s="142"/>
      <c r="E69" s="142"/>
      <c r="F69" s="142"/>
    </row>
    <row r="70" ht="15.75" customHeight="1">
      <c r="A70" s="142"/>
      <c r="B70" s="142"/>
      <c r="C70" s="142"/>
      <c r="D70" s="142"/>
      <c r="E70" s="142"/>
      <c r="F70" s="142"/>
    </row>
    <row r="71" ht="15.75" customHeight="1">
      <c r="A71" s="142"/>
      <c r="B71" s="142"/>
      <c r="C71" s="142"/>
      <c r="D71" s="142"/>
      <c r="E71" s="142"/>
      <c r="F71" s="142"/>
    </row>
    <row r="72" ht="15.75" customHeight="1">
      <c r="A72" s="142"/>
      <c r="B72" s="142"/>
      <c r="C72" s="142"/>
      <c r="D72" s="142"/>
      <c r="E72" s="142"/>
      <c r="F72" s="142"/>
    </row>
    <row r="73" ht="15.75" customHeight="1">
      <c r="A73" s="142"/>
      <c r="B73" s="142"/>
      <c r="C73" s="142"/>
      <c r="D73" s="142"/>
      <c r="E73" s="142"/>
      <c r="F73" s="142"/>
    </row>
    <row r="74" ht="15.75" customHeight="1">
      <c r="A74" s="142"/>
      <c r="B74" s="142"/>
      <c r="C74" s="142"/>
      <c r="D74" s="142"/>
      <c r="E74" s="142"/>
      <c r="F74" s="142"/>
    </row>
    <row r="75" ht="15.75" customHeight="1">
      <c r="A75" s="142"/>
      <c r="B75" s="142"/>
      <c r="C75" s="142"/>
      <c r="D75" s="142"/>
      <c r="E75" s="142"/>
      <c r="F75" s="142"/>
    </row>
    <row r="76" ht="15.75" customHeight="1">
      <c r="A76" s="142"/>
      <c r="B76" s="142"/>
      <c r="C76" s="142"/>
      <c r="D76" s="142"/>
      <c r="E76" s="142"/>
      <c r="F76" s="142"/>
    </row>
    <row r="77" ht="15.75" customHeight="1">
      <c r="A77" s="142"/>
      <c r="B77" s="142"/>
      <c r="C77" s="142"/>
      <c r="D77" s="142"/>
      <c r="E77" s="142"/>
      <c r="F77" s="142"/>
    </row>
    <row r="78" ht="15.75" customHeight="1">
      <c r="A78" s="142"/>
      <c r="B78" s="142"/>
      <c r="C78" s="142"/>
      <c r="D78" s="142"/>
      <c r="E78" s="142"/>
      <c r="F78" s="142"/>
    </row>
    <row r="79" ht="15.75" customHeight="1">
      <c r="A79" s="142"/>
      <c r="B79" s="142"/>
      <c r="C79" s="142"/>
      <c r="D79" s="142"/>
      <c r="E79" s="142"/>
      <c r="F79" s="142"/>
    </row>
    <row r="80" ht="15.75" customHeight="1">
      <c r="A80" s="142"/>
      <c r="B80" s="142"/>
      <c r="C80" s="142"/>
      <c r="D80" s="142"/>
      <c r="E80" s="142"/>
      <c r="F80" s="142"/>
    </row>
    <row r="81" ht="15.75" customHeight="1">
      <c r="A81" s="142"/>
      <c r="B81" s="142"/>
      <c r="C81" s="142"/>
      <c r="D81" s="142"/>
      <c r="E81" s="142"/>
      <c r="F81" s="142"/>
    </row>
    <row r="82" ht="15.75" customHeight="1">
      <c r="A82" s="142"/>
      <c r="B82" s="142"/>
      <c r="C82" s="142"/>
      <c r="D82" s="142"/>
      <c r="E82" s="142"/>
      <c r="F82" s="142"/>
    </row>
    <row r="83" ht="15.75" customHeight="1">
      <c r="A83" s="142"/>
      <c r="B83" s="142"/>
      <c r="C83" s="142"/>
      <c r="D83" s="142"/>
      <c r="E83" s="142"/>
      <c r="F83" s="142"/>
    </row>
    <row r="84" ht="15.75" customHeight="1">
      <c r="A84" s="142"/>
      <c r="B84" s="142"/>
      <c r="C84" s="142"/>
      <c r="D84" s="142"/>
      <c r="E84" s="142"/>
      <c r="F84" s="142"/>
    </row>
    <row r="85" ht="15.75" customHeight="1">
      <c r="A85" s="142"/>
      <c r="B85" s="142"/>
      <c r="C85" s="142"/>
      <c r="D85" s="142"/>
      <c r="E85" s="142"/>
      <c r="F85" s="142"/>
    </row>
    <row r="86" ht="15.75" customHeight="1">
      <c r="A86" s="142"/>
      <c r="B86" s="142"/>
      <c r="C86" s="142"/>
      <c r="D86" s="142"/>
      <c r="E86" s="142"/>
      <c r="F86" s="142"/>
    </row>
    <row r="87" ht="15.75" customHeight="1">
      <c r="A87" s="142"/>
      <c r="B87" s="142"/>
      <c r="C87" s="142"/>
      <c r="D87" s="142"/>
      <c r="E87" s="142"/>
      <c r="F87" s="142"/>
    </row>
    <row r="88" ht="15.75" customHeight="1">
      <c r="A88" s="142"/>
      <c r="B88" s="142"/>
      <c r="C88" s="142"/>
      <c r="D88" s="142"/>
      <c r="E88" s="142"/>
      <c r="F88" s="142"/>
    </row>
    <row r="89" ht="15.75" customHeight="1">
      <c r="A89" s="142"/>
      <c r="B89" s="142"/>
      <c r="C89" s="142"/>
      <c r="D89" s="142"/>
      <c r="E89" s="142"/>
      <c r="F89" s="142"/>
    </row>
    <row r="90" ht="15.75" customHeight="1">
      <c r="A90" s="142"/>
      <c r="B90" s="142"/>
      <c r="C90" s="142"/>
      <c r="D90" s="142"/>
      <c r="E90" s="142"/>
      <c r="F90" s="142"/>
    </row>
    <row r="91" ht="15.75" customHeight="1">
      <c r="A91" s="142"/>
      <c r="B91" s="142"/>
      <c r="C91" s="142"/>
      <c r="D91" s="142"/>
      <c r="E91" s="142"/>
      <c r="F91" s="142"/>
    </row>
    <row r="92" ht="15.75" customHeight="1">
      <c r="A92" s="142"/>
      <c r="B92" s="142"/>
      <c r="C92" s="142"/>
      <c r="D92" s="142"/>
      <c r="E92" s="142"/>
      <c r="F92" s="142"/>
    </row>
    <row r="93" ht="15.75" customHeight="1">
      <c r="A93" s="142"/>
      <c r="B93" s="142"/>
      <c r="C93" s="142"/>
      <c r="D93" s="142"/>
      <c r="E93" s="142"/>
      <c r="F93" s="142"/>
    </row>
    <row r="94" ht="15.75" customHeight="1">
      <c r="A94" s="142"/>
      <c r="B94" s="142"/>
      <c r="C94" s="142"/>
      <c r="D94" s="142"/>
      <c r="E94" s="142"/>
      <c r="F94" s="142"/>
    </row>
    <row r="95" ht="15.75" customHeight="1">
      <c r="A95" s="142"/>
      <c r="B95" s="142"/>
      <c r="C95" s="142"/>
      <c r="D95" s="142"/>
      <c r="E95" s="142"/>
      <c r="F95" s="142"/>
    </row>
    <row r="96" ht="15.75" customHeight="1">
      <c r="A96" s="142"/>
      <c r="B96" s="142"/>
      <c r="C96" s="142"/>
      <c r="D96" s="142"/>
      <c r="E96" s="142"/>
      <c r="F96" s="142"/>
    </row>
    <row r="97" ht="15.75" customHeight="1">
      <c r="A97" s="142"/>
      <c r="B97" s="142"/>
      <c r="C97" s="142"/>
      <c r="D97" s="142"/>
      <c r="E97" s="142"/>
      <c r="F97" s="142"/>
    </row>
    <row r="98" ht="15.75" customHeight="1">
      <c r="A98" s="142"/>
      <c r="B98" s="142"/>
      <c r="C98" s="142"/>
      <c r="D98" s="142"/>
      <c r="E98" s="142"/>
      <c r="F98" s="142"/>
    </row>
    <row r="99" ht="15.75" customHeight="1">
      <c r="A99" s="142"/>
      <c r="B99" s="142"/>
      <c r="C99" s="142"/>
      <c r="D99" s="142"/>
      <c r="E99" s="142"/>
      <c r="F99" s="142"/>
    </row>
    <row r="100" ht="15.75" customHeight="1">
      <c r="A100" s="142"/>
      <c r="B100" s="142"/>
      <c r="C100" s="142"/>
      <c r="D100" s="142"/>
      <c r="E100" s="142"/>
      <c r="F100" s="142"/>
    </row>
    <row r="101" ht="15.75" customHeight="1">
      <c r="A101" s="142"/>
      <c r="B101" s="142"/>
      <c r="C101" s="142"/>
      <c r="D101" s="142"/>
      <c r="E101" s="142"/>
      <c r="F101" s="142"/>
    </row>
    <row r="102" ht="15.75" customHeight="1">
      <c r="A102" s="142"/>
      <c r="B102" s="142"/>
      <c r="C102" s="142"/>
      <c r="D102" s="142"/>
      <c r="E102" s="142"/>
      <c r="F102" s="142"/>
    </row>
    <row r="103" ht="15.75" customHeight="1">
      <c r="A103" s="142"/>
      <c r="B103" s="142"/>
      <c r="C103" s="142"/>
      <c r="D103" s="142"/>
      <c r="E103" s="142"/>
      <c r="F103" s="142"/>
    </row>
    <row r="104" ht="15.75" customHeight="1">
      <c r="A104" s="142"/>
      <c r="B104" s="142"/>
      <c r="C104" s="142"/>
      <c r="D104" s="142"/>
      <c r="E104" s="142"/>
      <c r="F104" s="142"/>
    </row>
    <row r="105" ht="15.75" customHeight="1">
      <c r="A105" s="142"/>
      <c r="B105" s="142"/>
      <c r="C105" s="142"/>
      <c r="D105" s="142"/>
      <c r="E105" s="142"/>
      <c r="F105" s="142"/>
    </row>
    <row r="106" ht="15.75" customHeight="1">
      <c r="A106" s="142"/>
      <c r="B106" s="142"/>
      <c r="C106" s="142"/>
      <c r="D106" s="142"/>
      <c r="E106" s="142"/>
      <c r="F106" s="142"/>
    </row>
    <row r="107" ht="15.75" customHeight="1">
      <c r="A107" s="142"/>
      <c r="B107" s="142"/>
      <c r="C107" s="142"/>
      <c r="D107" s="142"/>
      <c r="E107" s="142"/>
      <c r="F107" s="142"/>
    </row>
    <row r="108" ht="15.75" customHeight="1">
      <c r="A108" s="142"/>
      <c r="B108" s="142"/>
      <c r="C108" s="142"/>
      <c r="D108" s="142"/>
      <c r="E108" s="142"/>
      <c r="F108" s="142"/>
    </row>
    <row r="109" ht="15.75" customHeight="1">
      <c r="A109" s="142"/>
      <c r="B109" s="142"/>
      <c r="C109" s="142"/>
      <c r="D109" s="142"/>
      <c r="E109" s="142"/>
      <c r="F109" s="142"/>
    </row>
    <row r="110" ht="15.75" customHeight="1">
      <c r="A110" s="142"/>
      <c r="B110" s="142"/>
      <c r="C110" s="142"/>
      <c r="D110" s="142"/>
      <c r="E110" s="142"/>
      <c r="F110" s="142"/>
    </row>
    <row r="111" ht="15.75" customHeight="1">
      <c r="A111" s="142"/>
      <c r="B111" s="142"/>
      <c r="C111" s="142"/>
      <c r="D111" s="142"/>
      <c r="E111" s="142"/>
      <c r="F111" s="142"/>
    </row>
    <row r="112" ht="15.75" customHeight="1">
      <c r="A112" s="142"/>
      <c r="B112" s="142"/>
      <c r="C112" s="142"/>
      <c r="D112" s="142"/>
      <c r="E112" s="142"/>
      <c r="F112" s="142"/>
    </row>
    <row r="113" ht="15.75" customHeight="1">
      <c r="A113" s="142"/>
      <c r="B113" s="142"/>
      <c r="C113" s="142"/>
      <c r="D113" s="142"/>
      <c r="E113" s="142"/>
      <c r="F113" s="142"/>
    </row>
    <row r="114" ht="15.75" customHeight="1">
      <c r="A114" s="142"/>
      <c r="B114" s="142"/>
      <c r="C114" s="142"/>
      <c r="D114" s="142"/>
      <c r="E114" s="142"/>
      <c r="F114" s="142"/>
    </row>
    <row r="115" ht="15.75" customHeight="1">
      <c r="A115" s="142"/>
      <c r="B115" s="142"/>
      <c r="C115" s="142"/>
      <c r="D115" s="142"/>
      <c r="E115" s="142"/>
      <c r="F115" s="142"/>
    </row>
    <row r="116" ht="15.75" customHeight="1">
      <c r="A116" s="142"/>
      <c r="B116" s="142"/>
      <c r="C116" s="142"/>
      <c r="D116" s="142"/>
      <c r="E116" s="142"/>
      <c r="F116" s="142"/>
    </row>
    <row r="117" ht="15.75" customHeight="1">
      <c r="A117" s="142"/>
      <c r="B117" s="142"/>
      <c r="C117" s="142"/>
      <c r="D117" s="142"/>
      <c r="E117" s="142"/>
      <c r="F117" s="142"/>
    </row>
    <row r="118" ht="15.75" customHeight="1">
      <c r="A118" s="142"/>
      <c r="B118" s="142"/>
      <c r="C118" s="142"/>
      <c r="D118" s="142"/>
      <c r="E118" s="142"/>
      <c r="F118" s="142"/>
    </row>
    <row r="119" ht="15.75" customHeight="1">
      <c r="A119" s="142"/>
      <c r="B119" s="142"/>
      <c r="C119" s="142"/>
      <c r="D119" s="142"/>
      <c r="E119" s="142"/>
      <c r="F119" s="142"/>
    </row>
    <row r="120" ht="15.75" customHeight="1">
      <c r="A120" s="142"/>
      <c r="B120" s="142"/>
      <c r="C120" s="142"/>
      <c r="D120" s="142"/>
      <c r="E120" s="142"/>
      <c r="F120" s="142"/>
    </row>
    <row r="121" ht="15.75" customHeight="1">
      <c r="A121" s="142"/>
      <c r="B121" s="142"/>
      <c r="C121" s="142"/>
      <c r="D121" s="142"/>
      <c r="E121" s="142"/>
      <c r="F121" s="142"/>
    </row>
    <row r="122" ht="15.75" customHeight="1">
      <c r="A122" s="142"/>
      <c r="B122" s="142"/>
      <c r="C122" s="142"/>
      <c r="D122" s="142"/>
      <c r="E122" s="142"/>
      <c r="F122" s="142"/>
    </row>
    <row r="123" ht="15.75" customHeight="1">
      <c r="A123" s="142"/>
      <c r="B123" s="142"/>
      <c r="C123" s="142"/>
      <c r="D123" s="142"/>
      <c r="E123" s="142"/>
      <c r="F123" s="142"/>
    </row>
    <row r="124" ht="15.75" customHeight="1">
      <c r="A124" s="142"/>
      <c r="B124" s="142"/>
      <c r="C124" s="142"/>
      <c r="D124" s="142"/>
      <c r="E124" s="142"/>
      <c r="F124" s="142"/>
    </row>
    <row r="125" ht="15.75" customHeight="1">
      <c r="A125" s="142"/>
      <c r="B125" s="142"/>
      <c r="C125" s="142"/>
      <c r="D125" s="142"/>
      <c r="E125" s="142"/>
      <c r="F125" s="142"/>
    </row>
    <row r="126" ht="15.75" customHeight="1">
      <c r="A126" s="142"/>
      <c r="B126" s="142"/>
      <c r="C126" s="142"/>
      <c r="D126" s="142"/>
      <c r="E126" s="142"/>
      <c r="F126" s="142"/>
    </row>
    <row r="127" ht="15.75" customHeight="1">
      <c r="A127" s="142"/>
      <c r="B127" s="142"/>
      <c r="C127" s="142"/>
      <c r="D127" s="142"/>
      <c r="E127" s="142"/>
      <c r="F127" s="142"/>
    </row>
    <row r="128" ht="15.75" customHeight="1">
      <c r="A128" s="142"/>
      <c r="B128" s="142"/>
      <c r="C128" s="142"/>
      <c r="D128" s="142"/>
      <c r="E128" s="142"/>
      <c r="F128" s="142"/>
    </row>
    <row r="129" ht="15.75" customHeight="1">
      <c r="A129" s="142"/>
      <c r="B129" s="142"/>
      <c r="C129" s="142"/>
      <c r="D129" s="142"/>
      <c r="E129" s="142"/>
      <c r="F129" s="142"/>
    </row>
    <row r="130" ht="15.75" customHeight="1">
      <c r="A130" s="142"/>
      <c r="B130" s="142"/>
      <c r="C130" s="142"/>
      <c r="D130" s="142"/>
      <c r="E130" s="142"/>
      <c r="F130" s="142"/>
    </row>
    <row r="131" ht="15.75" customHeight="1">
      <c r="A131" s="142"/>
      <c r="B131" s="142"/>
      <c r="C131" s="142"/>
      <c r="D131" s="142"/>
      <c r="E131" s="142"/>
      <c r="F131" s="142"/>
    </row>
    <row r="132" ht="15.75" customHeight="1">
      <c r="A132" s="142"/>
      <c r="B132" s="142"/>
      <c r="C132" s="142"/>
      <c r="D132" s="142"/>
      <c r="E132" s="142"/>
      <c r="F132" s="142"/>
    </row>
    <row r="133" ht="15.75" customHeight="1">
      <c r="A133" s="142"/>
      <c r="B133" s="142"/>
      <c r="C133" s="142"/>
      <c r="D133" s="142"/>
      <c r="E133" s="142"/>
      <c r="F133" s="142"/>
    </row>
    <row r="134" ht="15.75" customHeight="1">
      <c r="A134" s="142"/>
      <c r="B134" s="142"/>
      <c r="C134" s="142"/>
      <c r="D134" s="142"/>
      <c r="E134" s="142"/>
      <c r="F134" s="142"/>
    </row>
    <row r="135" ht="15.75" customHeight="1">
      <c r="A135" s="142"/>
      <c r="B135" s="142"/>
      <c r="C135" s="142"/>
      <c r="D135" s="142"/>
      <c r="E135" s="142"/>
      <c r="F135" s="142"/>
    </row>
    <row r="136" ht="15.75" customHeight="1">
      <c r="A136" s="142"/>
      <c r="B136" s="142"/>
      <c r="C136" s="142"/>
      <c r="D136" s="142"/>
      <c r="E136" s="142"/>
      <c r="F136" s="142"/>
    </row>
    <row r="137" ht="15.75" customHeight="1">
      <c r="A137" s="142"/>
      <c r="B137" s="142"/>
      <c r="C137" s="142"/>
      <c r="D137" s="142"/>
      <c r="E137" s="142"/>
      <c r="F137" s="142"/>
    </row>
    <row r="138" ht="15.75" customHeight="1">
      <c r="A138" s="142"/>
      <c r="B138" s="142"/>
      <c r="C138" s="142"/>
      <c r="D138" s="142"/>
      <c r="E138" s="142"/>
      <c r="F138" s="142"/>
    </row>
    <row r="139" ht="15.75" customHeight="1">
      <c r="A139" s="142"/>
      <c r="B139" s="142"/>
      <c r="C139" s="142"/>
      <c r="D139" s="142"/>
      <c r="E139" s="142"/>
      <c r="F139" s="142"/>
    </row>
    <row r="140" ht="15.75" customHeight="1">
      <c r="A140" s="142"/>
      <c r="B140" s="142"/>
      <c r="C140" s="142"/>
      <c r="D140" s="142"/>
      <c r="E140" s="142"/>
      <c r="F140" s="142"/>
    </row>
    <row r="141" ht="15.75" customHeight="1">
      <c r="A141" s="142"/>
      <c r="B141" s="142"/>
      <c r="C141" s="142"/>
      <c r="D141" s="142"/>
      <c r="E141" s="142"/>
      <c r="F141" s="142"/>
    </row>
    <row r="142" ht="15.75" customHeight="1">
      <c r="A142" s="142"/>
      <c r="B142" s="142"/>
      <c r="C142" s="142"/>
      <c r="D142" s="142"/>
      <c r="E142" s="142"/>
      <c r="F142" s="142"/>
    </row>
    <row r="143" ht="15.75" customHeight="1">
      <c r="A143" s="142"/>
      <c r="B143" s="142"/>
      <c r="C143" s="142"/>
      <c r="D143" s="142"/>
      <c r="E143" s="142"/>
      <c r="F143" s="142"/>
    </row>
    <row r="144" ht="15.75" customHeight="1">
      <c r="A144" s="142"/>
      <c r="B144" s="142"/>
      <c r="C144" s="142"/>
      <c r="D144" s="142"/>
      <c r="E144" s="142"/>
      <c r="F144" s="142"/>
    </row>
    <row r="145" ht="15.75" customHeight="1">
      <c r="A145" s="142"/>
      <c r="B145" s="142"/>
      <c r="C145" s="142"/>
      <c r="D145" s="142"/>
      <c r="E145" s="142"/>
      <c r="F145" s="142"/>
    </row>
    <row r="146" ht="15.75" customHeight="1">
      <c r="A146" s="142"/>
      <c r="B146" s="142"/>
      <c r="C146" s="142"/>
      <c r="D146" s="142"/>
      <c r="E146" s="142"/>
      <c r="F146" s="142"/>
    </row>
    <row r="147" ht="15.75" customHeight="1">
      <c r="A147" s="142"/>
      <c r="B147" s="142"/>
      <c r="C147" s="142"/>
      <c r="D147" s="142"/>
      <c r="E147" s="142"/>
      <c r="F147" s="142"/>
    </row>
    <row r="148" ht="15.75" customHeight="1">
      <c r="A148" s="142"/>
      <c r="B148" s="142"/>
      <c r="C148" s="142"/>
      <c r="D148" s="142"/>
      <c r="E148" s="142"/>
      <c r="F148" s="142"/>
    </row>
    <row r="149" ht="15.75" customHeight="1">
      <c r="A149" s="142"/>
      <c r="B149" s="142"/>
      <c r="C149" s="142"/>
      <c r="D149" s="142"/>
      <c r="E149" s="142"/>
      <c r="F149" s="142"/>
    </row>
    <row r="150" ht="15.75" customHeight="1">
      <c r="A150" s="142"/>
      <c r="B150" s="142"/>
      <c r="C150" s="142"/>
      <c r="D150" s="142"/>
      <c r="E150" s="142"/>
      <c r="F150" s="142"/>
    </row>
    <row r="151" ht="15.75" customHeight="1">
      <c r="A151" s="142"/>
      <c r="B151" s="142"/>
      <c r="C151" s="142"/>
      <c r="D151" s="142"/>
      <c r="E151" s="142"/>
      <c r="F151" s="142"/>
    </row>
    <row r="152" ht="15.75" customHeight="1">
      <c r="A152" s="142"/>
      <c r="B152" s="142"/>
      <c r="C152" s="142"/>
      <c r="D152" s="142"/>
      <c r="E152" s="142"/>
      <c r="F152" s="142"/>
    </row>
    <row r="153" ht="15.75" customHeight="1">
      <c r="A153" s="142"/>
      <c r="B153" s="142"/>
      <c r="C153" s="142"/>
      <c r="D153" s="142"/>
      <c r="E153" s="142"/>
      <c r="F153" s="142"/>
    </row>
    <row r="154" ht="15.75" customHeight="1">
      <c r="A154" s="142"/>
      <c r="B154" s="142"/>
      <c r="C154" s="142"/>
      <c r="D154" s="142"/>
      <c r="E154" s="142"/>
      <c r="F154" s="142"/>
    </row>
    <row r="155" ht="15.75" customHeight="1">
      <c r="A155" s="142"/>
      <c r="B155" s="142"/>
      <c r="C155" s="142"/>
      <c r="D155" s="142"/>
      <c r="E155" s="142"/>
      <c r="F155" s="142"/>
    </row>
    <row r="156" ht="15.75" customHeight="1">
      <c r="A156" s="142"/>
      <c r="B156" s="142"/>
      <c r="C156" s="142"/>
      <c r="D156" s="142"/>
      <c r="E156" s="142"/>
      <c r="F156" s="142"/>
    </row>
    <row r="157" ht="15.75" customHeight="1">
      <c r="A157" s="142"/>
      <c r="B157" s="142"/>
      <c r="C157" s="142"/>
      <c r="D157" s="142"/>
      <c r="E157" s="142"/>
      <c r="F157" s="142"/>
    </row>
    <row r="158" ht="15.75" customHeight="1">
      <c r="A158" s="142"/>
      <c r="B158" s="142"/>
      <c r="C158" s="142"/>
      <c r="D158" s="142"/>
      <c r="E158" s="142"/>
      <c r="F158" s="142"/>
    </row>
    <row r="159" ht="15.75" customHeight="1">
      <c r="A159" s="142"/>
      <c r="B159" s="142"/>
      <c r="C159" s="142"/>
      <c r="D159" s="142"/>
      <c r="E159" s="142"/>
      <c r="F159" s="142"/>
    </row>
    <row r="160" ht="15.75" customHeight="1">
      <c r="A160" s="142"/>
      <c r="B160" s="142"/>
      <c r="C160" s="142"/>
      <c r="D160" s="142"/>
      <c r="E160" s="142"/>
      <c r="F160" s="142"/>
    </row>
    <row r="161" ht="15.75" customHeight="1">
      <c r="A161" s="142"/>
      <c r="B161" s="142"/>
      <c r="C161" s="142"/>
      <c r="D161" s="142"/>
      <c r="E161" s="142"/>
      <c r="F161" s="142"/>
    </row>
    <row r="162" ht="15.75" customHeight="1">
      <c r="A162" s="142"/>
      <c r="B162" s="142"/>
      <c r="C162" s="142"/>
      <c r="D162" s="142"/>
      <c r="E162" s="142"/>
      <c r="F162" s="142"/>
    </row>
    <row r="163" ht="15.75" customHeight="1">
      <c r="A163" s="142"/>
      <c r="B163" s="142"/>
      <c r="C163" s="142"/>
      <c r="D163" s="142"/>
      <c r="E163" s="142"/>
      <c r="F163" s="142"/>
    </row>
    <row r="164" ht="15.75" customHeight="1">
      <c r="A164" s="142"/>
      <c r="B164" s="142"/>
      <c r="C164" s="142"/>
      <c r="D164" s="142"/>
      <c r="E164" s="142"/>
      <c r="F164" s="142"/>
    </row>
    <row r="165" ht="15.75" customHeight="1">
      <c r="A165" s="142"/>
      <c r="B165" s="142"/>
      <c r="C165" s="142"/>
      <c r="D165" s="142"/>
      <c r="E165" s="142"/>
      <c r="F165" s="142"/>
    </row>
    <row r="166" ht="15.75" customHeight="1">
      <c r="A166" s="142"/>
      <c r="B166" s="142"/>
      <c r="C166" s="142"/>
      <c r="D166" s="142"/>
      <c r="E166" s="142"/>
      <c r="F166" s="142"/>
    </row>
    <row r="167" ht="15.75" customHeight="1">
      <c r="A167" s="142"/>
      <c r="B167" s="142"/>
      <c r="C167" s="142"/>
      <c r="D167" s="142"/>
      <c r="E167" s="142"/>
      <c r="F167" s="142"/>
    </row>
    <row r="168" ht="15.75" customHeight="1">
      <c r="A168" s="142"/>
      <c r="B168" s="142"/>
      <c r="C168" s="142"/>
      <c r="D168" s="142"/>
      <c r="E168" s="142"/>
      <c r="F168" s="142"/>
    </row>
    <row r="169" ht="15.75" customHeight="1">
      <c r="A169" s="142"/>
      <c r="B169" s="142"/>
      <c r="C169" s="142"/>
      <c r="D169" s="142"/>
      <c r="E169" s="142"/>
      <c r="F169" s="142"/>
    </row>
    <row r="170" ht="15.75" customHeight="1">
      <c r="A170" s="142"/>
      <c r="B170" s="142"/>
      <c r="C170" s="142"/>
      <c r="D170" s="142"/>
      <c r="E170" s="142"/>
      <c r="F170" s="142"/>
    </row>
    <row r="171" ht="15.75" customHeight="1">
      <c r="A171" s="142"/>
      <c r="B171" s="142"/>
      <c r="C171" s="142"/>
      <c r="D171" s="142"/>
      <c r="E171" s="142"/>
      <c r="F171" s="142"/>
    </row>
    <row r="172" ht="15.75" customHeight="1">
      <c r="A172" s="142"/>
      <c r="B172" s="142"/>
      <c r="C172" s="142"/>
      <c r="D172" s="142"/>
      <c r="E172" s="142"/>
      <c r="F172" s="142"/>
    </row>
    <row r="173" ht="15.75" customHeight="1">
      <c r="A173" s="142"/>
      <c r="B173" s="142"/>
      <c r="C173" s="142"/>
      <c r="D173" s="142"/>
      <c r="E173" s="142"/>
      <c r="F173" s="142"/>
    </row>
    <row r="174" ht="15.75" customHeight="1">
      <c r="A174" s="142"/>
      <c r="B174" s="142"/>
      <c r="C174" s="142"/>
      <c r="D174" s="142"/>
      <c r="E174" s="142"/>
      <c r="F174" s="142"/>
    </row>
    <row r="175" ht="15.75" customHeight="1">
      <c r="A175" s="142"/>
      <c r="B175" s="142"/>
      <c r="C175" s="142"/>
      <c r="D175" s="142"/>
      <c r="E175" s="142"/>
      <c r="F175" s="142"/>
    </row>
    <row r="176" ht="15.75" customHeight="1">
      <c r="A176" s="142"/>
      <c r="B176" s="142"/>
      <c r="C176" s="142"/>
      <c r="D176" s="142"/>
      <c r="E176" s="142"/>
      <c r="F176" s="142"/>
    </row>
    <row r="177" ht="15.75" customHeight="1">
      <c r="A177" s="142"/>
      <c r="B177" s="142"/>
      <c r="C177" s="142"/>
      <c r="D177" s="142"/>
      <c r="E177" s="142"/>
      <c r="F177" s="142"/>
    </row>
    <row r="178" ht="15.75" customHeight="1">
      <c r="A178" s="142"/>
      <c r="B178" s="142"/>
      <c r="C178" s="142"/>
      <c r="D178" s="142"/>
      <c r="E178" s="142"/>
      <c r="F178" s="142"/>
    </row>
    <row r="179" ht="15.75" customHeight="1">
      <c r="A179" s="142"/>
      <c r="B179" s="142"/>
      <c r="C179" s="142"/>
      <c r="D179" s="142"/>
      <c r="E179" s="142"/>
      <c r="F179" s="142"/>
    </row>
    <row r="180" ht="15.75" customHeight="1">
      <c r="A180" s="142"/>
      <c r="B180" s="142"/>
      <c r="C180" s="142"/>
      <c r="D180" s="142"/>
      <c r="E180" s="142"/>
      <c r="F180" s="142"/>
    </row>
    <row r="181" ht="15.75" customHeight="1">
      <c r="A181" s="142"/>
      <c r="B181" s="142"/>
      <c r="C181" s="142"/>
      <c r="D181" s="142"/>
      <c r="E181" s="142"/>
      <c r="F181" s="142"/>
    </row>
    <row r="182" ht="15.75" customHeight="1">
      <c r="A182" s="142"/>
      <c r="B182" s="142"/>
      <c r="C182" s="142"/>
      <c r="D182" s="142"/>
      <c r="E182" s="142"/>
      <c r="F182" s="142"/>
    </row>
    <row r="183" ht="15.75" customHeight="1">
      <c r="A183" s="142"/>
      <c r="B183" s="142"/>
      <c r="C183" s="142"/>
      <c r="D183" s="142"/>
      <c r="E183" s="142"/>
      <c r="F183" s="142"/>
    </row>
    <row r="184" ht="15.75" customHeight="1">
      <c r="A184" s="142"/>
      <c r="B184" s="142"/>
      <c r="C184" s="142"/>
      <c r="D184" s="142"/>
      <c r="E184" s="142"/>
      <c r="F184" s="142"/>
    </row>
    <row r="185" ht="15.75" customHeight="1">
      <c r="A185" s="142"/>
      <c r="B185" s="142"/>
      <c r="C185" s="142"/>
      <c r="D185" s="142"/>
      <c r="E185" s="142"/>
      <c r="F185" s="142"/>
    </row>
    <row r="186" ht="15.75" customHeight="1">
      <c r="A186" s="142"/>
      <c r="B186" s="142"/>
      <c r="C186" s="142"/>
      <c r="D186" s="142"/>
      <c r="E186" s="142"/>
      <c r="F186" s="142"/>
    </row>
    <row r="187" ht="15.75" customHeight="1">
      <c r="A187" s="142"/>
      <c r="B187" s="142"/>
      <c r="C187" s="142"/>
      <c r="D187" s="142"/>
      <c r="E187" s="142"/>
      <c r="F187" s="142"/>
    </row>
    <row r="188" ht="15.75" customHeight="1">
      <c r="A188" s="142"/>
      <c r="B188" s="142"/>
      <c r="C188" s="142"/>
      <c r="D188" s="142"/>
      <c r="E188" s="142"/>
      <c r="F188" s="142"/>
    </row>
    <row r="189" ht="15.75" customHeight="1">
      <c r="A189" s="142"/>
      <c r="B189" s="142"/>
      <c r="C189" s="142"/>
      <c r="D189" s="142"/>
      <c r="E189" s="142"/>
      <c r="F189" s="142"/>
    </row>
    <row r="190" ht="15.75" customHeight="1">
      <c r="A190" s="142"/>
      <c r="B190" s="142"/>
      <c r="C190" s="142"/>
      <c r="D190" s="142"/>
      <c r="E190" s="142"/>
      <c r="F190" s="142"/>
    </row>
    <row r="191" ht="15.75" customHeight="1">
      <c r="A191" s="142"/>
      <c r="B191" s="142"/>
      <c r="C191" s="142"/>
      <c r="D191" s="142"/>
      <c r="E191" s="142"/>
      <c r="F191" s="142"/>
    </row>
    <row r="192" ht="15.75" customHeight="1">
      <c r="A192" s="142"/>
      <c r="B192" s="142"/>
      <c r="C192" s="142"/>
      <c r="D192" s="142"/>
      <c r="E192" s="142"/>
      <c r="F192" s="142"/>
    </row>
    <row r="193" ht="15.75" customHeight="1">
      <c r="A193" s="142"/>
      <c r="B193" s="142"/>
      <c r="C193" s="142"/>
      <c r="D193" s="142"/>
      <c r="E193" s="142"/>
      <c r="F193" s="142"/>
    </row>
    <row r="194" ht="15.75" customHeight="1">
      <c r="A194" s="142"/>
      <c r="B194" s="142"/>
      <c r="C194" s="142"/>
      <c r="D194" s="142"/>
      <c r="E194" s="142"/>
      <c r="F194" s="142"/>
    </row>
    <row r="195" ht="15.75" customHeight="1">
      <c r="A195" s="142"/>
      <c r="B195" s="142"/>
      <c r="C195" s="142"/>
      <c r="D195" s="142"/>
      <c r="E195" s="142"/>
      <c r="F195" s="142"/>
    </row>
    <row r="196" ht="15.75" customHeight="1">
      <c r="A196" s="142"/>
      <c r="B196" s="142"/>
      <c r="C196" s="142"/>
      <c r="D196" s="142"/>
      <c r="E196" s="142"/>
      <c r="F196" s="142"/>
    </row>
    <row r="197" ht="15.75" customHeight="1">
      <c r="A197" s="142"/>
      <c r="B197" s="142"/>
      <c r="C197" s="142"/>
      <c r="D197" s="142"/>
      <c r="E197" s="142"/>
      <c r="F197" s="142"/>
    </row>
    <row r="198" ht="15.75" customHeight="1">
      <c r="A198" s="142"/>
      <c r="B198" s="142"/>
      <c r="C198" s="142"/>
      <c r="D198" s="142"/>
      <c r="E198" s="142"/>
      <c r="F198" s="142"/>
    </row>
    <row r="199" ht="15.75" customHeight="1">
      <c r="A199" s="142"/>
      <c r="B199" s="142"/>
      <c r="C199" s="142"/>
      <c r="D199" s="142"/>
      <c r="E199" s="142"/>
      <c r="F199" s="142"/>
    </row>
    <row r="200" ht="15.75" customHeight="1">
      <c r="A200" s="142"/>
      <c r="B200" s="142"/>
      <c r="C200" s="142"/>
      <c r="D200" s="142"/>
      <c r="E200" s="142"/>
      <c r="F200" s="142"/>
    </row>
    <row r="201" ht="15.75" customHeight="1">
      <c r="A201" s="142"/>
      <c r="B201" s="142"/>
      <c r="C201" s="142"/>
      <c r="D201" s="142"/>
      <c r="E201" s="142"/>
      <c r="F201" s="142"/>
    </row>
    <row r="202" ht="15.75" customHeight="1">
      <c r="A202" s="142"/>
      <c r="B202" s="142"/>
      <c r="C202" s="142"/>
      <c r="D202" s="142"/>
      <c r="E202" s="142"/>
      <c r="F202" s="142"/>
    </row>
    <row r="203" ht="15.75" customHeight="1">
      <c r="A203" s="142"/>
      <c r="B203" s="142"/>
      <c r="C203" s="142"/>
      <c r="D203" s="142"/>
      <c r="E203" s="142"/>
      <c r="F203" s="142"/>
    </row>
    <row r="204" ht="15.75" customHeight="1">
      <c r="A204" s="142"/>
      <c r="B204" s="142"/>
      <c r="C204" s="142"/>
      <c r="D204" s="142"/>
      <c r="E204" s="142"/>
      <c r="F204" s="142"/>
    </row>
    <row r="205" ht="15.75" customHeight="1">
      <c r="A205" s="142"/>
      <c r="B205" s="142"/>
      <c r="C205" s="142"/>
      <c r="D205" s="142"/>
      <c r="E205" s="142"/>
      <c r="F205" s="142"/>
    </row>
    <row r="206" ht="15.75" customHeight="1">
      <c r="A206" s="142"/>
      <c r="B206" s="142"/>
      <c r="C206" s="142"/>
      <c r="D206" s="142"/>
      <c r="E206" s="142"/>
      <c r="F206" s="142"/>
    </row>
    <row r="207" ht="15.75" customHeight="1">
      <c r="A207" s="142"/>
      <c r="B207" s="142"/>
      <c r="C207" s="142"/>
      <c r="D207" s="142"/>
      <c r="E207" s="142"/>
      <c r="F207" s="142"/>
    </row>
    <row r="208" ht="15.75" customHeight="1">
      <c r="A208" s="142"/>
      <c r="B208" s="142"/>
      <c r="C208" s="142"/>
      <c r="D208" s="142"/>
      <c r="E208" s="142"/>
      <c r="F208" s="142"/>
    </row>
    <row r="209" ht="15.75" customHeight="1">
      <c r="A209" s="142"/>
      <c r="B209" s="142"/>
      <c r="C209" s="142"/>
      <c r="D209" s="142"/>
      <c r="E209" s="142"/>
      <c r="F209" s="142"/>
    </row>
    <row r="210" ht="15.75" customHeight="1">
      <c r="A210" s="142"/>
      <c r="B210" s="142"/>
      <c r="C210" s="142"/>
      <c r="D210" s="142"/>
      <c r="E210" s="142"/>
      <c r="F210" s="142"/>
    </row>
    <row r="211" ht="15.75" customHeight="1">
      <c r="A211" s="142"/>
      <c r="B211" s="142"/>
      <c r="C211" s="142"/>
      <c r="D211" s="142"/>
      <c r="E211" s="142"/>
      <c r="F211" s="142"/>
    </row>
    <row r="212" ht="15.75" customHeight="1">
      <c r="A212" s="142"/>
      <c r="B212" s="142"/>
      <c r="C212" s="142"/>
      <c r="D212" s="142"/>
      <c r="E212" s="142"/>
      <c r="F212" s="142"/>
    </row>
    <row r="213" ht="15.75" customHeight="1">
      <c r="A213" s="142"/>
      <c r="B213" s="142"/>
      <c r="C213" s="142"/>
      <c r="D213" s="142"/>
      <c r="E213" s="142"/>
      <c r="F213" s="142"/>
    </row>
    <row r="214" ht="15.75" customHeight="1">
      <c r="A214" s="142"/>
      <c r="B214" s="142"/>
      <c r="C214" s="142"/>
      <c r="D214" s="142"/>
      <c r="E214" s="142"/>
      <c r="F214" s="142"/>
    </row>
    <row r="215" ht="15.75" customHeight="1">
      <c r="A215" s="142"/>
      <c r="B215" s="142"/>
      <c r="C215" s="142"/>
      <c r="D215" s="142"/>
      <c r="E215" s="142"/>
      <c r="F215" s="142"/>
    </row>
    <row r="216" ht="15.75" customHeight="1">
      <c r="A216" s="142"/>
      <c r="B216" s="142"/>
      <c r="C216" s="142"/>
      <c r="D216" s="142"/>
      <c r="E216" s="142"/>
      <c r="F216" s="142"/>
    </row>
    <row r="217" ht="15.75" customHeight="1">
      <c r="A217" s="142"/>
      <c r="B217" s="142"/>
      <c r="C217" s="142"/>
      <c r="D217" s="142"/>
      <c r="E217" s="142"/>
      <c r="F217" s="142"/>
    </row>
    <row r="218" ht="15.75" customHeight="1">
      <c r="A218" s="142"/>
      <c r="B218" s="142"/>
      <c r="C218" s="142"/>
      <c r="D218" s="142"/>
      <c r="E218" s="142"/>
      <c r="F218" s="142"/>
    </row>
    <row r="219" ht="15.75" customHeight="1">
      <c r="A219" s="142"/>
      <c r="B219" s="142"/>
      <c r="C219" s="142"/>
      <c r="D219" s="142"/>
      <c r="E219" s="142"/>
      <c r="F219" s="142"/>
    </row>
    <row r="220" ht="15.75" customHeight="1">
      <c r="A220" s="142"/>
      <c r="B220" s="142"/>
      <c r="C220" s="142"/>
      <c r="D220" s="142"/>
      <c r="E220" s="142"/>
      <c r="F220" s="142"/>
    </row>
    <row r="221" ht="15.75" customHeight="1">
      <c r="A221" s="142"/>
      <c r="B221" s="142"/>
      <c r="C221" s="142"/>
      <c r="D221" s="142"/>
      <c r="E221" s="142"/>
      <c r="F221" s="142"/>
    </row>
    <row r="222" ht="15.75" customHeight="1">
      <c r="A222" s="142"/>
      <c r="B222" s="142"/>
      <c r="C222" s="142"/>
      <c r="D222" s="142"/>
      <c r="E222" s="142"/>
      <c r="F222" s="142"/>
    </row>
    <row r="223" ht="15.75" customHeight="1">
      <c r="A223" s="142"/>
      <c r="B223" s="142"/>
      <c r="C223" s="142"/>
      <c r="D223" s="142"/>
      <c r="E223" s="142"/>
      <c r="F223" s="142"/>
    </row>
    <row r="224" ht="15.75" customHeight="1">
      <c r="A224" s="142"/>
      <c r="B224" s="142"/>
      <c r="C224" s="142"/>
      <c r="D224" s="142"/>
      <c r="E224" s="142"/>
      <c r="F224" s="142"/>
    </row>
    <row r="225" ht="15.75" customHeight="1">
      <c r="A225" s="142"/>
      <c r="B225" s="142"/>
      <c r="C225" s="142"/>
      <c r="D225" s="142"/>
      <c r="E225" s="142"/>
      <c r="F225" s="142"/>
    </row>
    <row r="226" ht="15.75" customHeight="1">
      <c r="A226" s="142"/>
      <c r="B226" s="142"/>
      <c r="C226" s="142"/>
      <c r="D226" s="142"/>
      <c r="E226" s="142"/>
      <c r="F226" s="142"/>
    </row>
    <row r="227" ht="15.75" customHeight="1">
      <c r="A227" s="142"/>
      <c r="B227" s="142"/>
      <c r="C227" s="142"/>
      <c r="D227" s="142"/>
      <c r="E227" s="142"/>
      <c r="F227" s="142"/>
    </row>
    <row r="228" ht="15.75" customHeight="1">
      <c r="A228" s="142"/>
      <c r="B228" s="142"/>
      <c r="C228" s="142"/>
      <c r="D228" s="142"/>
      <c r="E228" s="142"/>
      <c r="F228" s="142"/>
    </row>
    <row r="229" ht="15.75" customHeight="1">
      <c r="A229" s="142"/>
      <c r="B229" s="142"/>
      <c r="C229" s="142"/>
      <c r="D229" s="142"/>
      <c r="E229" s="142"/>
      <c r="F229" s="142"/>
    </row>
    <row r="230" ht="15.75" customHeight="1">
      <c r="A230" s="142"/>
      <c r="B230" s="142"/>
      <c r="C230" s="142"/>
      <c r="D230" s="142"/>
      <c r="E230" s="142"/>
      <c r="F230" s="142"/>
    </row>
    <row r="231" ht="15.75" customHeight="1">
      <c r="A231" s="142"/>
      <c r="B231" s="142"/>
      <c r="C231" s="142"/>
      <c r="D231" s="142"/>
      <c r="E231" s="142"/>
      <c r="F231" s="142"/>
    </row>
    <row r="232" ht="15.75" customHeight="1">
      <c r="A232" s="142"/>
      <c r="B232" s="142"/>
      <c r="C232" s="142"/>
      <c r="D232" s="142"/>
      <c r="E232" s="142"/>
      <c r="F232" s="142"/>
    </row>
    <row r="233" ht="15.75" customHeight="1">
      <c r="A233" s="142"/>
      <c r="B233" s="142"/>
      <c r="C233" s="142"/>
      <c r="D233" s="142"/>
      <c r="E233" s="142"/>
      <c r="F233" s="142"/>
    </row>
    <row r="234" ht="15.75" customHeight="1">
      <c r="A234" s="142"/>
      <c r="B234" s="142"/>
      <c r="C234" s="142"/>
      <c r="D234" s="142"/>
      <c r="E234" s="142"/>
      <c r="F234" s="142"/>
    </row>
    <row r="235" ht="15.75" customHeight="1">
      <c r="A235" s="142"/>
      <c r="B235" s="142"/>
      <c r="C235" s="142"/>
      <c r="D235" s="142"/>
      <c r="E235" s="142"/>
      <c r="F235" s="142"/>
    </row>
    <row r="236" ht="15.75" customHeight="1">
      <c r="A236" s="142"/>
      <c r="B236" s="142"/>
      <c r="C236" s="142"/>
      <c r="D236" s="142"/>
      <c r="E236" s="142"/>
      <c r="F236" s="142"/>
    </row>
    <row r="237" ht="15.75" customHeight="1">
      <c r="A237" s="142"/>
      <c r="B237" s="142"/>
      <c r="C237" s="142"/>
      <c r="D237" s="142"/>
      <c r="E237" s="142"/>
      <c r="F237" s="142"/>
    </row>
    <row r="238" ht="15.75" customHeight="1">
      <c r="A238" s="142"/>
      <c r="B238" s="142"/>
      <c r="C238" s="142"/>
      <c r="D238" s="142"/>
      <c r="E238" s="142"/>
      <c r="F238" s="142"/>
    </row>
    <row r="239" ht="15.75" customHeight="1">
      <c r="A239" s="142"/>
      <c r="B239" s="142"/>
      <c r="C239" s="142"/>
      <c r="D239" s="142"/>
      <c r="E239" s="142"/>
      <c r="F239" s="142"/>
    </row>
    <row r="240" ht="15.75" customHeight="1">
      <c r="A240" s="142"/>
      <c r="B240" s="142"/>
      <c r="C240" s="142"/>
      <c r="D240" s="142"/>
      <c r="E240" s="142"/>
      <c r="F240" s="142"/>
    </row>
    <row r="241" ht="15.75" customHeight="1">
      <c r="A241" s="142"/>
      <c r="B241" s="142"/>
      <c r="C241" s="142"/>
      <c r="D241" s="142"/>
      <c r="E241" s="142"/>
      <c r="F241" s="142"/>
    </row>
    <row r="242" ht="15.75" customHeight="1">
      <c r="A242" s="142"/>
      <c r="B242" s="142"/>
      <c r="C242" s="142"/>
      <c r="D242" s="142"/>
      <c r="E242" s="142"/>
      <c r="F242" s="142"/>
    </row>
    <row r="243" ht="15.75" customHeight="1">
      <c r="A243" s="142"/>
      <c r="B243" s="142"/>
      <c r="C243" s="142"/>
      <c r="D243" s="142"/>
      <c r="E243" s="142"/>
      <c r="F243" s="142"/>
    </row>
    <row r="244" ht="15.75" customHeight="1">
      <c r="A244" s="142"/>
      <c r="B244" s="142"/>
      <c r="C244" s="142"/>
      <c r="D244" s="142"/>
      <c r="E244" s="142"/>
      <c r="F244" s="142"/>
    </row>
    <row r="245" ht="15.75" customHeight="1">
      <c r="A245" s="142"/>
      <c r="B245" s="142"/>
      <c r="C245" s="142"/>
      <c r="D245" s="142"/>
      <c r="E245" s="142"/>
      <c r="F245" s="142"/>
    </row>
    <row r="246" ht="15.75" customHeight="1">
      <c r="A246" s="142"/>
      <c r="B246" s="142"/>
      <c r="C246" s="142"/>
      <c r="D246" s="142"/>
      <c r="E246" s="142"/>
      <c r="F246" s="142"/>
    </row>
    <row r="247" ht="15.75" customHeight="1">
      <c r="A247" s="142"/>
      <c r="B247" s="142"/>
      <c r="C247" s="142"/>
      <c r="D247" s="142"/>
      <c r="E247" s="142"/>
      <c r="F247" s="142"/>
    </row>
    <row r="248" ht="15.75" customHeight="1">
      <c r="A248" s="142"/>
      <c r="B248" s="142"/>
      <c r="C248" s="142"/>
      <c r="D248" s="142"/>
      <c r="E248" s="142"/>
      <c r="F248" s="142"/>
    </row>
    <row r="249" ht="15.75" customHeight="1">
      <c r="A249" s="142"/>
      <c r="B249" s="142"/>
      <c r="C249" s="142"/>
      <c r="D249" s="142"/>
      <c r="E249" s="142"/>
      <c r="F249" s="142"/>
    </row>
    <row r="250" ht="15.75" customHeight="1">
      <c r="A250" s="142"/>
      <c r="B250" s="142"/>
      <c r="C250" s="142"/>
      <c r="D250" s="142"/>
      <c r="E250" s="142"/>
      <c r="F250" s="142"/>
    </row>
    <row r="251" ht="15.75" customHeight="1">
      <c r="A251" s="142"/>
      <c r="B251" s="142"/>
      <c r="C251" s="142"/>
      <c r="D251" s="142"/>
      <c r="E251" s="142"/>
      <c r="F251" s="142"/>
    </row>
    <row r="252" ht="15.75" customHeight="1">
      <c r="A252" s="142"/>
      <c r="B252" s="142"/>
      <c r="C252" s="142"/>
      <c r="D252" s="142"/>
      <c r="E252" s="142"/>
      <c r="F252" s="142"/>
    </row>
    <row r="253" ht="15.75" customHeight="1">
      <c r="A253" s="142"/>
      <c r="B253" s="142"/>
      <c r="C253" s="142"/>
      <c r="D253" s="142"/>
      <c r="E253" s="142"/>
      <c r="F253" s="142"/>
    </row>
    <row r="254" ht="15.75" customHeight="1">
      <c r="A254" s="142"/>
      <c r="B254" s="142"/>
      <c r="C254" s="142"/>
      <c r="D254" s="142"/>
      <c r="E254" s="142"/>
      <c r="F254" s="142"/>
    </row>
    <row r="255" ht="15.75" customHeight="1">
      <c r="A255" s="142"/>
      <c r="B255" s="142"/>
      <c r="C255" s="142"/>
      <c r="D255" s="142"/>
      <c r="E255" s="142"/>
      <c r="F255" s="142"/>
    </row>
    <row r="256" ht="15.75" customHeight="1">
      <c r="A256" s="142"/>
      <c r="B256" s="142"/>
      <c r="C256" s="142"/>
      <c r="D256" s="142"/>
      <c r="E256" s="142"/>
      <c r="F256" s="142"/>
    </row>
    <row r="257" ht="15.75" customHeight="1">
      <c r="A257" s="142"/>
      <c r="B257" s="142"/>
      <c r="C257" s="142"/>
      <c r="D257" s="142"/>
      <c r="E257" s="142"/>
      <c r="F257" s="142"/>
    </row>
    <row r="258" ht="15.75" customHeight="1">
      <c r="A258" s="142"/>
      <c r="B258" s="142"/>
      <c r="C258" s="142"/>
      <c r="D258" s="142"/>
      <c r="E258" s="142"/>
      <c r="F258" s="142"/>
    </row>
    <row r="259" ht="15.75" customHeight="1">
      <c r="A259" s="142"/>
      <c r="B259" s="142"/>
      <c r="C259" s="142"/>
      <c r="D259" s="142"/>
      <c r="E259" s="142"/>
      <c r="F259" s="142"/>
    </row>
    <row r="260" ht="15.75" customHeight="1">
      <c r="A260" s="142"/>
      <c r="B260" s="142"/>
      <c r="C260" s="142"/>
      <c r="D260" s="142"/>
      <c r="E260" s="142"/>
      <c r="F260" s="142"/>
    </row>
    <row r="261" ht="15.75" customHeight="1">
      <c r="A261" s="142"/>
      <c r="B261" s="142"/>
      <c r="C261" s="142"/>
      <c r="D261" s="142"/>
      <c r="E261" s="142"/>
      <c r="F261" s="142"/>
    </row>
    <row r="262" ht="15.75" customHeight="1">
      <c r="A262" s="142"/>
      <c r="B262" s="142"/>
      <c r="C262" s="142"/>
      <c r="D262" s="142"/>
      <c r="E262" s="142"/>
      <c r="F262" s="142"/>
    </row>
    <row r="263" ht="15.75" customHeight="1">
      <c r="A263" s="142"/>
      <c r="B263" s="142"/>
      <c r="C263" s="142"/>
      <c r="D263" s="142"/>
      <c r="E263" s="142"/>
      <c r="F263" s="142"/>
    </row>
    <row r="264" ht="15.75" customHeight="1">
      <c r="A264" s="142"/>
      <c r="B264" s="142"/>
      <c r="C264" s="142"/>
      <c r="D264" s="142"/>
      <c r="E264" s="142"/>
      <c r="F264" s="142"/>
    </row>
    <row r="265" ht="15.75" customHeight="1">
      <c r="A265" s="142"/>
      <c r="B265" s="142"/>
      <c r="C265" s="142"/>
      <c r="D265" s="142"/>
      <c r="E265" s="142"/>
      <c r="F265" s="142"/>
    </row>
    <row r="266" ht="15.75" customHeight="1">
      <c r="A266" s="142"/>
      <c r="B266" s="142"/>
      <c r="C266" s="142"/>
      <c r="D266" s="142"/>
      <c r="E266" s="142"/>
      <c r="F266" s="142"/>
    </row>
    <row r="267" ht="15.75" customHeight="1">
      <c r="A267" s="142"/>
      <c r="B267" s="142"/>
      <c r="C267" s="142"/>
      <c r="D267" s="142"/>
      <c r="E267" s="142"/>
      <c r="F267" s="142"/>
    </row>
    <row r="268" ht="15.75" customHeight="1">
      <c r="A268" s="142"/>
      <c r="B268" s="142"/>
      <c r="C268" s="142"/>
      <c r="D268" s="142"/>
      <c r="E268" s="142"/>
      <c r="F268" s="142"/>
    </row>
    <row r="269" ht="15.75" customHeight="1">
      <c r="A269" s="142"/>
      <c r="B269" s="142"/>
      <c r="C269" s="142"/>
      <c r="D269" s="142"/>
      <c r="E269" s="142"/>
      <c r="F269" s="142"/>
    </row>
    <row r="270" ht="15.75" customHeight="1">
      <c r="A270" s="142"/>
      <c r="B270" s="142"/>
      <c r="C270" s="142"/>
      <c r="D270" s="142"/>
      <c r="E270" s="142"/>
      <c r="F270" s="142"/>
    </row>
    <row r="271" ht="15.75" customHeight="1">
      <c r="A271" s="142"/>
      <c r="B271" s="142"/>
      <c r="C271" s="142"/>
      <c r="D271" s="142"/>
      <c r="E271" s="142"/>
      <c r="F271" s="142"/>
    </row>
    <row r="272" ht="15.75" customHeight="1">
      <c r="A272" s="142"/>
      <c r="B272" s="142"/>
      <c r="C272" s="142"/>
      <c r="D272" s="142"/>
      <c r="E272" s="142"/>
      <c r="F272" s="142"/>
    </row>
    <row r="273" ht="15.75" customHeight="1">
      <c r="A273" s="142"/>
      <c r="B273" s="142"/>
      <c r="C273" s="142"/>
      <c r="D273" s="142"/>
      <c r="E273" s="142"/>
      <c r="F273" s="142"/>
    </row>
    <row r="274" ht="15.75" customHeight="1">
      <c r="A274" s="142"/>
      <c r="B274" s="142"/>
      <c r="C274" s="142"/>
      <c r="D274" s="142"/>
      <c r="E274" s="142"/>
      <c r="F274" s="142"/>
    </row>
    <row r="275" ht="15.75" customHeight="1">
      <c r="A275" s="142"/>
      <c r="B275" s="142"/>
      <c r="C275" s="142"/>
      <c r="D275" s="142"/>
      <c r="E275" s="142"/>
      <c r="F275" s="142"/>
    </row>
    <row r="276" ht="15.75" customHeight="1">
      <c r="A276" s="142"/>
      <c r="B276" s="142"/>
      <c r="C276" s="142"/>
      <c r="D276" s="142"/>
      <c r="E276" s="142"/>
      <c r="F276" s="142"/>
    </row>
    <row r="277" ht="15.75" customHeight="1">
      <c r="A277" s="142"/>
      <c r="B277" s="142"/>
      <c r="C277" s="142"/>
      <c r="D277" s="142"/>
      <c r="E277" s="142"/>
      <c r="F277" s="142"/>
    </row>
    <row r="278" ht="15.75" customHeight="1">
      <c r="A278" s="142"/>
      <c r="B278" s="142"/>
      <c r="C278" s="142"/>
      <c r="D278" s="142"/>
      <c r="E278" s="142"/>
      <c r="F278" s="142"/>
    </row>
    <row r="279" ht="15.75" customHeight="1">
      <c r="A279" s="142"/>
      <c r="B279" s="142"/>
      <c r="C279" s="142"/>
      <c r="D279" s="142"/>
      <c r="E279" s="142"/>
      <c r="F279" s="142"/>
    </row>
    <row r="280" ht="15.75" customHeight="1">
      <c r="A280" s="142"/>
      <c r="B280" s="142"/>
      <c r="C280" s="142"/>
      <c r="D280" s="142"/>
      <c r="E280" s="142"/>
      <c r="F280" s="142"/>
    </row>
    <row r="281" ht="15.75" customHeight="1">
      <c r="A281" s="142"/>
      <c r="B281" s="142"/>
      <c r="C281" s="142"/>
      <c r="D281" s="142"/>
      <c r="E281" s="142"/>
      <c r="F281" s="142"/>
    </row>
    <row r="282" ht="15.75" customHeight="1">
      <c r="A282" s="142"/>
      <c r="B282" s="142"/>
      <c r="C282" s="142"/>
      <c r="D282" s="142"/>
      <c r="E282" s="142"/>
      <c r="F282" s="142"/>
    </row>
    <row r="283" ht="15.75" customHeight="1">
      <c r="A283" s="142"/>
      <c r="B283" s="142"/>
      <c r="C283" s="142"/>
      <c r="D283" s="142"/>
      <c r="E283" s="142"/>
      <c r="F283" s="142"/>
    </row>
    <row r="284" ht="15.75" customHeight="1">
      <c r="A284" s="142"/>
      <c r="B284" s="142"/>
      <c r="C284" s="142"/>
      <c r="D284" s="142"/>
      <c r="E284" s="142"/>
      <c r="F284" s="142"/>
    </row>
    <row r="285" ht="15.75" customHeight="1">
      <c r="A285" s="142"/>
      <c r="B285" s="142"/>
      <c r="C285" s="142"/>
      <c r="D285" s="142"/>
      <c r="E285" s="142"/>
      <c r="F285" s="142"/>
    </row>
    <row r="286" ht="15.75" customHeight="1">
      <c r="A286" s="142"/>
      <c r="B286" s="142"/>
      <c r="C286" s="142"/>
      <c r="D286" s="142"/>
      <c r="E286" s="142"/>
      <c r="F286" s="142"/>
    </row>
    <row r="287" ht="15.75" customHeight="1">
      <c r="A287" s="142"/>
      <c r="B287" s="142"/>
      <c r="C287" s="142"/>
      <c r="D287" s="142"/>
      <c r="E287" s="142"/>
      <c r="F287" s="142"/>
    </row>
    <row r="288" ht="15.75" customHeight="1">
      <c r="A288" s="142"/>
      <c r="B288" s="142"/>
      <c r="C288" s="142"/>
      <c r="D288" s="142"/>
      <c r="E288" s="142"/>
      <c r="F288" s="142"/>
    </row>
    <row r="289" ht="15.75" customHeight="1">
      <c r="A289" s="142"/>
      <c r="B289" s="142"/>
      <c r="C289" s="142"/>
      <c r="D289" s="142"/>
      <c r="E289" s="142"/>
      <c r="F289" s="142"/>
    </row>
    <row r="290" ht="15.75" customHeight="1">
      <c r="A290" s="142"/>
      <c r="B290" s="142"/>
      <c r="C290" s="142"/>
      <c r="D290" s="142"/>
      <c r="E290" s="142"/>
      <c r="F290" s="142"/>
    </row>
    <row r="291" ht="15.75" customHeight="1">
      <c r="A291" s="142"/>
      <c r="B291" s="142"/>
      <c r="C291" s="142"/>
      <c r="D291" s="142"/>
      <c r="E291" s="142"/>
      <c r="F291" s="142"/>
    </row>
    <row r="292" ht="15.75" customHeight="1">
      <c r="A292" s="142"/>
      <c r="B292" s="142"/>
      <c r="C292" s="142"/>
      <c r="D292" s="142"/>
      <c r="E292" s="142"/>
      <c r="F292" s="142"/>
    </row>
    <row r="293" ht="15.75" customHeight="1">
      <c r="A293" s="142"/>
      <c r="B293" s="142"/>
      <c r="C293" s="142"/>
      <c r="D293" s="142"/>
      <c r="E293" s="142"/>
      <c r="F293" s="142"/>
    </row>
    <row r="294" ht="15.75" customHeight="1">
      <c r="A294" s="142"/>
      <c r="B294" s="142"/>
      <c r="C294" s="142"/>
      <c r="D294" s="142"/>
      <c r="E294" s="142"/>
      <c r="F294" s="142"/>
    </row>
    <row r="295" ht="15.75" customHeight="1">
      <c r="A295" s="142"/>
      <c r="B295" s="142"/>
      <c r="C295" s="142"/>
      <c r="D295" s="142"/>
      <c r="E295" s="142"/>
      <c r="F295" s="142"/>
    </row>
    <row r="296" ht="15.75" customHeight="1">
      <c r="A296" s="142"/>
      <c r="B296" s="142"/>
      <c r="C296" s="142"/>
      <c r="D296" s="142"/>
      <c r="E296" s="142"/>
      <c r="F296" s="142"/>
    </row>
    <row r="297" ht="15.75" customHeight="1">
      <c r="A297" s="142"/>
      <c r="B297" s="142"/>
      <c r="C297" s="142"/>
      <c r="D297" s="142"/>
      <c r="E297" s="142"/>
      <c r="F297" s="142"/>
    </row>
    <row r="298" ht="15.75" customHeight="1">
      <c r="A298" s="142"/>
      <c r="B298" s="142"/>
      <c r="C298" s="142"/>
      <c r="D298" s="142"/>
      <c r="E298" s="142"/>
      <c r="F298" s="142"/>
    </row>
    <row r="299" ht="15.75" customHeight="1">
      <c r="A299" s="142"/>
      <c r="B299" s="142"/>
      <c r="C299" s="142"/>
      <c r="D299" s="142"/>
      <c r="E299" s="142"/>
      <c r="F299" s="142"/>
    </row>
    <row r="300" ht="15.75" customHeight="1">
      <c r="A300" s="142"/>
      <c r="B300" s="142"/>
      <c r="C300" s="142"/>
      <c r="D300" s="142"/>
      <c r="E300" s="142"/>
      <c r="F300" s="142"/>
    </row>
    <row r="301" ht="15.75" customHeight="1">
      <c r="A301" s="142"/>
      <c r="B301" s="142"/>
      <c r="C301" s="142"/>
      <c r="D301" s="142"/>
      <c r="E301" s="142"/>
      <c r="F301" s="142"/>
    </row>
    <row r="302" ht="15.75" customHeight="1">
      <c r="A302" s="142"/>
      <c r="B302" s="142"/>
      <c r="C302" s="142"/>
      <c r="D302" s="142"/>
      <c r="E302" s="142"/>
      <c r="F302" s="142"/>
    </row>
    <row r="303" ht="15.75" customHeight="1">
      <c r="A303" s="142"/>
      <c r="B303" s="142"/>
      <c r="C303" s="142"/>
      <c r="D303" s="142"/>
      <c r="E303" s="142"/>
      <c r="F303" s="142"/>
    </row>
    <row r="304" ht="15.75" customHeight="1">
      <c r="A304" s="142"/>
      <c r="B304" s="142"/>
      <c r="C304" s="142"/>
      <c r="D304" s="142"/>
      <c r="E304" s="142"/>
      <c r="F304" s="142"/>
    </row>
    <row r="305" ht="15.75" customHeight="1">
      <c r="A305" s="142"/>
      <c r="B305" s="142"/>
      <c r="C305" s="142"/>
      <c r="D305" s="142"/>
      <c r="E305" s="142"/>
      <c r="F305" s="142"/>
    </row>
    <row r="306" ht="15.75" customHeight="1">
      <c r="A306" s="142"/>
      <c r="B306" s="142"/>
      <c r="C306" s="142"/>
      <c r="D306" s="142"/>
      <c r="E306" s="142"/>
      <c r="F306" s="142"/>
    </row>
    <row r="307" ht="15.75" customHeight="1">
      <c r="A307" s="142"/>
      <c r="B307" s="142"/>
      <c r="C307" s="142"/>
      <c r="D307" s="142"/>
      <c r="E307" s="142"/>
      <c r="F307" s="142"/>
    </row>
    <row r="308" ht="15.75" customHeight="1">
      <c r="A308" s="142"/>
      <c r="B308" s="142"/>
      <c r="C308" s="142"/>
      <c r="D308" s="142"/>
      <c r="E308" s="142"/>
      <c r="F308" s="142"/>
    </row>
    <row r="309" ht="15.75" customHeight="1">
      <c r="A309" s="142"/>
      <c r="B309" s="142"/>
      <c r="C309" s="142"/>
      <c r="D309" s="142"/>
      <c r="E309" s="142"/>
      <c r="F309" s="142"/>
    </row>
    <row r="310" ht="15.75" customHeight="1">
      <c r="A310" s="142"/>
      <c r="B310" s="142"/>
      <c r="C310" s="142"/>
      <c r="D310" s="142"/>
      <c r="E310" s="142"/>
      <c r="F310" s="142"/>
    </row>
    <row r="311" ht="15.75" customHeight="1">
      <c r="A311" s="142"/>
      <c r="B311" s="142"/>
      <c r="C311" s="142"/>
      <c r="D311" s="142"/>
      <c r="E311" s="142"/>
      <c r="F311" s="142"/>
    </row>
    <row r="312" ht="15.75" customHeight="1">
      <c r="A312" s="142"/>
      <c r="B312" s="142"/>
      <c r="C312" s="142"/>
      <c r="D312" s="142"/>
      <c r="E312" s="142"/>
      <c r="F312" s="142"/>
    </row>
    <row r="313" ht="15.75" customHeight="1">
      <c r="A313" s="142"/>
      <c r="B313" s="142"/>
      <c r="C313" s="142"/>
      <c r="D313" s="142"/>
      <c r="E313" s="142"/>
      <c r="F313" s="142"/>
    </row>
    <row r="314" ht="15.75" customHeight="1">
      <c r="A314" s="142"/>
      <c r="B314" s="142"/>
      <c r="C314" s="142"/>
      <c r="D314" s="142"/>
      <c r="E314" s="142"/>
      <c r="F314" s="142"/>
    </row>
    <row r="315" ht="15.75" customHeight="1">
      <c r="A315" s="142"/>
      <c r="B315" s="142"/>
      <c r="C315" s="142"/>
      <c r="D315" s="142"/>
      <c r="E315" s="142"/>
      <c r="F315" s="142"/>
    </row>
    <row r="316" ht="15.75" customHeight="1">
      <c r="A316" s="142"/>
      <c r="B316" s="142"/>
      <c r="C316" s="142"/>
      <c r="D316" s="142"/>
      <c r="E316" s="142"/>
      <c r="F316" s="142"/>
    </row>
    <row r="317" ht="15.75" customHeight="1">
      <c r="A317" s="142"/>
      <c r="B317" s="142"/>
      <c r="C317" s="142"/>
      <c r="D317" s="142"/>
      <c r="E317" s="142"/>
      <c r="F317" s="142"/>
    </row>
    <row r="318" ht="15.75" customHeight="1">
      <c r="A318" s="142"/>
      <c r="B318" s="142"/>
      <c r="C318" s="142"/>
      <c r="D318" s="142"/>
      <c r="E318" s="142"/>
      <c r="F318" s="142"/>
    </row>
    <row r="319" ht="15.75" customHeight="1">
      <c r="A319" s="142"/>
      <c r="B319" s="142"/>
      <c r="C319" s="142"/>
      <c r="D319" s="142"/>
      <c r="E319" s="142"/>
      <c r="F319" s="142"/>
    </row>
    <row r="320" ht="15.75" customHeight="1">
      <c r="A320" s="142"/>
      <c r="B320" s="142"/>
      <c r="C320" s="142"/>
      <c r="D320" s="142"/>
      <c r="E320" s="142"/>
      <c r="F320" s="142"/>
    </row>
    <row r="321" ht="15.75" customHeight="1">
      <c r="A321" s="142"/>
      <c r="B321" s="142"/>
      <c r="C321" s="142"/>
      <c r="D321" s="142"/>
      <c r="E321" s="142"/>
      <c r="F321" s="142"/>
    </row>
    <row r="322" ht="15.75" customHeight="1">
      <c r="A322" s="142"/>
      <c r="B322" s="142"/>
      <c r="C322" s="142"/>
      <c r="D322" s="142"/>
      <c r="E322" s="142"/>
      <c r="F322" s="142"/>
    </row>
    <row r="323" ht="15.75" customHeight="1">
      <c r="A323" s="142"/>
      <c r="B323" s="142"/>
      <c r="C323" s="142"/>
      <c r="D323" s="142"/>
      <c r="E323" s="142"/>
      <c r="F323" s="142"/>
    </row>
    <row r="324" ht="15.75" customHeight="1">
      <c r="A324" s="142"/>
      <c r="B324" s="142"/>
      <c r="C324" s="142"/>
      <c r="D324" s="142"/>
      <c r="E324" s="142"/>
      <c r="F324" s="142"/>
    </row>
    <row r="325" ht="15.75" customHeight="1">
      <c r="A325" s="142"/>
      <c r="B325" s="142"/>
      <c r="C325" s="142"/>
      <c r="D325" s="142"/>
      <c r="E325" s="142"/>
      <c r="F325" s="142"/>
    </row>
    <row r="326" ht="15.75" customHeight="1">
      <c r="A326" s="142"/>
      <c r="B326" s="142"/>
      <c r="C326" s="142"/>
      <c r="D326" s="142"/>
      <c r="E326" s="142"/>
      <c r="F326" s="142"/>
    </row>
    <row r="327" ht="15.75" customHeight="1">
      <c r="A327" s="142"/>
      <c r="B327" s="142"/>
      <c r="C327" s="142"/>
      <c r="D327" s="142"/>
      <c r="E327" s="142"/>
      <c r="F327" s="142"/>
    </row>
    <row r="328" ht="15.75" customHeight="1">
      <c r="A328" s="142"/>
      <c r="B328" s="142"/>
      <c r="C328" s="142"/>
      <c r="D328" s="142"/>
      <c r="E328" s="142"/>
      <c r="F328" s="142"/>
    </row>
    <row r="329" ht="15.75" customHeight="1">
      <c r="A329" s="142"/>
      <c r="B329" s="142"/>
      <c r="C329" s="142"/>
      <c r="D329" s="142"/>
      <c r="E329" s="142"/>
      <c r="F329" s="142"/>
    </row>
    <row r="330" ht="15.75" customHeight="1">
      <c r="A330" s="142"/>
      <c r="B330" s="142"/>
      <c r="C330" s="142"/>
      <c r="D330" s="142"/>
      <c r="E330" s="142"/>
      <c r="F330" s="142"/>
    </row>
    <row r="331" ht="15.75" customHeight="1">
      <c r="A331" s="142"/>
      <c r="B331" s="142"/>
      <c r="C331" s="142"/>
      <c r="D331" s="142"/>
      <c r="E331" s="142"/>
      <c r="F331" s="142"/>
    </row>
    <row r="332" ht="15.75" customHeight="1">
      <c r="A332" s="142"/>
      <c r="B332" s="142"/>
      <c r="C332" s="142"/>
      <c r="D332" s="142"/>
      <c r="E332" s="142"/>
      <c r="F332" s="142"/>
    </row>
    <row r="333" ht="15.75" customHeight="1">
      <c r="A333" s="142"/>
      <c r="B333" s="142"/>
      <c r="C333" s="142"/>
      <c r="D333" s="142"/>
      <c r="E333" s="142"/>
      <c r="F333" s="142"/>
    </row>
    <row r="334" ht="15.75" customHeight="1">
      <c r="A334" s="142"/>
      <c r="B334" s="142"/>
      <c r="C334" s="142"/>
      <c r="D334" s="142"/>
      <c r="E334" s="142"/>
      <c r="F334" s="142"/>
    </row>
    <row r="335" ht="15.75" customHeight="1">
      <c r="A335" s="142"/>
      <c r="B335" s="142"/>
      <c r="C335" s="142"/>
      <c r="D335" s="142"/>
      <c r="E335" s="142"/>
      <c r="F335" s="142"/>
    </row>
    <row r="336" ht="15.75" customHeight="1">
      <c r="A336" s="142"/>
      <c r="B336" s="142"/>
      <c r="C336" s="142"/>
      <c r="D336" s="142"/>
      <c r="E336" s="142"/>
      <c r="F336" s="142"/>
    </row>
    <row r="337" ht="15.75" customHeight="1">
      <c r="A337" s="142"/>
      <c r="B337" s="142"/>
      <c r="C337" s="142"/>
      <c r="D337" s="142"/>
      <c r="E337" s="142"/>
      <c r="F337" s="142"/>
    </row>
    <row r="338" ht="15.75" customHeight="1">
      <c r="A338" s="142"/>
      <c r="B338" s="142"/>
      <c r="C338" s="142"/>
      <c r="D338" s="142"/>
      <c r="E338" s="142"/>
      <c r="F338" s="142"/>
    </row>
    <row r="339" ht="15.75" customHeight="1">
      <c r="A339" s="142"/>
      <c r="B339" s="142"/>
      <c r="C339" s="142"/>
      <c r="D339" s="142"/>
      <c r="E339" s="142"/>
      <c r="F339" s="142"/>
    </row>
    <row r="340" ht="15.75" customHeight="1">
      <c r="A340" s="142"/>
      <c r="B340" s="142"/>
      <c r="C340" s="142"/>
      <c r="D340" s="142"/>
      <c r="E340" s="142"/>
      <c r="F340" s="142"/>
    </row>
    <row r="341" ht="15.75" customHeight="1">
      <c r="A341" s="142"/>
      <c r="B341" s="142"/>
      <c r="C341" s="142"/>
      <c r="D341" s="142"/>
      <c r="E341" s="142"/>
      <c r="F341" s="142"/>
    </row>
    <row r="342" ht="15.75" customHeight="1">
      <c r="A342" s="142"/>
      <c r="B342" s="142"/>
      <c r="C342" s="142"/>
      <c r="D342" s="142"/>
      <c r="E342" s="142"/>
      <c r="F342" s="142"/>
    </row>
    <row r="343" ht="15.75" customHeight="1">
      <c r="A343" s="142"/>
      <c r="B343" s="142"/>
      <c r="C343" s="142"/>
      <c r="D343" s="142"/>
      <c r="E343" s="142"/>
      <c r="F343" s="142"/>
    </row>
    <row r="344" ht="15.75" customHeight="1">
      <c r="A344" s="142"/>
      <c r="B344" s="142"/>
      <c r="C344" s="142"/>
      <c r="D344" s="142"/>
      <c r="E344" s="142"/>
      <c r="F344" s="142"/>
    </row>
    <row r="345" ht="15.75" customHeight="1">
      <c r="A345" s="142"/>
      <c r="B345" s="142"/>
      <c r="C345" s="142"/>
      <c r="D345" s="142"/>
      <c r="E345" s="142"/>
      <c r="F345" s="142"/>
    </row>
    <row r="346" ht="15.75" customHeight="1">
      <c r="A346" s="142"/>
      <c r="B346" s="142"/>
      <c r="C346" s="142"/>
      <c r="D346" s="142"/>
      <c r="E346" s="142"/>
      <c r="F346" s="142"/>
    </row>
    <row r="347" ht="15.75" customHeight="1">
      <c r="A347" s="142"/>
      <c r="B347" s="142"/>
      <c r="C347" s="142"/>
      <c r="D347" s="142"/>
      <c r="E347" s="142"/>
      <c r="F347" s="142"/>
    </row>
    <row r="348" ht="15.75" customHeight="1">
      <c r="A348" s="142"/>
      <c r="B348" s="142"/>
      <c r="C348" s="142"/>
      <c r="D348" s="142"/>
      <c r="E348" s="142"/>
      <c r="F348" s="142"/>
    </row>
    <row r="349" ht="15.75" customHeight="1">
      <c r="A349" s="142"/>
      <c r="B349" s="142"/>
      <c r="C349" s="142"/>
      <c r="D349" s="142"/>
      <c r="E349" s="142"/>
      <c r="F349" s="142"/>
    </row>
    <row r="350" ht="15.75" customHeight="1">
      <c r="A350" s="142"/>
      <c r="B350" s="142"/>
      <c r="C350" s="142"/>
      <c r="D350" s="142"/>
      <c r="E350" s="142"/>
      <c r="F350" s="142"/>
    </row>
    <row r="351" ht="15.75" customHeight="1">
      <c r="A351" s="142"/>
      <c r="B351" s="142"/>
      <c r="C351" s="142"/>
      <c r="D351" s="142"/>
      <c r="E351" s="142"/>
      <c r="F351" s="142"/>
    </row>
    <row r="352" ht="15.75" customHeight="1">
      <c r="A352" s="142"/>
      <c r="B352" s="142"/>
      <c r="C352" s="142"/>
      <c r="D352" s="142"/>
      <c r="E352" s="142"/>
      <c r="F352" s="142"/>
    </row>
    <row r="353" ht="15.75" customHeight="1">
      <c r="A353" s="142"/>
      <c r="B353" s="142"/>
      <c r="C353" s="142"/>
      <c r="D353" s="142"/>
      <c r="E353" s="142"/>
      <c r="F353" s="142"/>
    </row>
    <row r="354" ht="15.75" customHeight="1">
      <c r="A354" s="142"/>
      <c r="B354" s="142"/>
      <c r="C354" s="142"/>
      <c r="D354" s="142"/>
      <c r="E354" s="142"/>
      <c r="F354" s="142"/>
    </row>
    <row r="355" ht="15.75" customHeight="1">
      <c r="A355" s="142"/>
      <c r="B355" s="142"/>
      <c r="C355" s="142"/>
      <c r="D355" s="142"/>
      <c r="E355" s="142"/>
      <c r="F355" s="142"/>
    </row>
    <row r="356" ht="15.75" customHeight="1">
      <c r="A356" s="142"/>
      <c r="B356" s="142"/>
      <c r="C356" s="142"/>
      <c r="D356" s="142"/>
      <c r="E356" s="142"/>
      <c r="F356" s="142"/>
    </row>
    <row r="357" ht="15.75" customHeight="1">
      <c r="A357" s="142"/>
      <c r="B357" s="142"/>
      <c r="C357" s="142"/>
      <c r="D357" s="142"/>
      <c r="E357" s="142"/>
      <c r="F357" s="142"/>
    </row>
    <row r="358" ht="15.75" customHeight="1">
      <c r="A358" s="142"/>
      <c r="B358" s="142"/>
      <c r="C358" s="142"/>
      <c r="D358" s="142"/>
      <c r="E358" s="142"/>
      <c r="F358" s="142"/>
    </row>
    <row r="359" ht="15.75" customHeight="1">
      <c r="A359" s="142"/>
      <c r="B359" s="142"/>
      <c r="C359" s="142"/>
      <c r="D359" s="142"/>
      <c r="E359" s="142"/>
      <c r="F359" s="142"/>
    </row>
    <row r="360" ht="15.75" customHeight="1">
      <c r="A360" s="142"/>
      <c r="B360" s="142"/>
      <c r="C360" s="142"/>
      <c r="D360" s="142"/>
      <c r="E360" s="142"/>
      <c r="F360" s="142"/>
    </row>
    <row r="361" ht="15.75" customHeight="1">
      <c r="A361" s="142"/>
      <c r="B361" s="142"/>
      <c r="C361" s="142"/>
      <c r="D361" s="142"/>
      <c r="E361" s="142"/>
      <c r="F361" s="142"/>
    </row>
    <row r="362" ht="15.75" customHeight="1">
      <c r="A362" s="142"/>
      <c r="B362" s="142"/>
      <c r="C362" s="142"/>
      <c r="D362" s="142"/>
      <c r="E362" s="142"/>
      <c r="F362" s="142"/>
    </row>
    <row r="363" ht="15.75" customHeight="1">
      <c r="A363" s="142"/>
      <c r="B363" s="142"/>
      <c r="C363" s="142"/>
      <c r="D363" s="142"/>
      <c r="E363" s="142"/>
      <c r="F363" s="142"/>
    </row>
    <row r="364" ht="15.75" customHeight="1">
      <c r="A364" s="142"/>
      <c r="B364" s="142"/>
      <c r="C364" s="142"/>
      <c r="D364" s="142"/>
      <c r="E364" s="142"/>
      <c r="F364" s="142"/>
    </row>
    <row r="365" ht="15.75" customHeight="1">
      <c r="A365" s="142"/>
      <c r="B365" s="142"/>
      <c r="C365" s="142"/>
      <c r="D365" s="142"/>
      <c r="E365" s="142"/>
      <c r="F365" s="142"/>
    </row>
    <row r="366" ht="15.75" customHeight="1">
      <c r="A366" s="142"/>
      <c r="B366" s="142"/>
      <c r="C366" s="142"/>
      <c r="D366" s="142"/>
      <c r="E366" s="142"/>
      <c r="F366" s="142"/>
    </row>
    <row r="367" ht="15.75" customHeight="1">
      <c r="A367" s="142"/>
      <c r="B367" s="142"/>
      <c r="C367" s="142"/>
      <c r="D367" s="142"/>
      <c r="E367" s="142"/>
      <c r="F367" s="142"/>
    </row>
    <row r="368" ht="15.75" customHeight="1">
      <c r="A368" s="142"/>
      <c r="B368" s="142"/>
      <c r="C368" s="142"/>
      <c r="D368" s="142"/>
      <c r="E368" s="142"/>
      <c r="F368" s="142"/>
    </row>
    <row r="369" ht="15.75" customHeight="1">
      <c r="A369" s="142"/>
      <c r="B369" s="142"/>
      <c r="C369" s="142"/>
      <c r="D369" s="142"/>
      <c r="E369" s="142"/>
      <c r="F369" s="142"/>
    </row>
    <row r="370" ht="15.75" customHeight="1">
      <c r="A370" s="142"/>
      <c r="B370" s="142"/>
      <c r="C370" s="142"/>
      <c r="D370" s="142"/>
      <c r="E370" s="142"/>
      <c r="F370" s="142"/>
    </row>
    <row r="371" ht="15.75" customHeight="1">
      <c r="A371" s="142"/>
      <c r="B371" s="142"/>
      <c r="C371" s="142"/>
      <c r="D371" s="142"/>
      <c r="E371" s="142"/>
      <c r="F371" s="142"/>
    </row>
    <row r="372" ht="15.75" customHeight="1">
      <c r="A372" s="142"/>
      <c r="B372" s="142"/>
      <c r="C372" s="142"/>
      <c r="D372" s="142"/>
      <c r="E372" s="142"/>
      <c r="F372" s="142"/>
    </row>
    <row r="373" ht="15.75" customHeight="1">
      <c r="A373" s="142"/>
      <c r="B373" s="142"/>
      <c r="C373" s="142"/>
      <c r="D373" s="142"/>
      <c r="E373" s="142"/>
      <c r="F373" s="142"/>
    </row>
    <row r="374" ht="15.75" customHeight="1">
      <c r="A374" s="142"/>
      <c r="B374" s="142"/>
      <c r="C374" s="142"/>
      <c r="D374" s="142"/>
      <c r="E374" s="142"/>
      <c r="F374" s="142"/>
    </row>
    <row r="375" ht="15.75" customHeight="1">
      <c r="A375" s="142"/>
      <c r="B375" s="142"/>
      <c r="C375" s="142"/>
      <c r="D375" s="142"/>
      <c r="E375" s="142"/>
      <c r="F375" s="142"/>
    </row>
    <row r="376" ht="15.75" customHeight="1">
      <c r="A376" s="142"/>
      <c r="B376" s="142"/>
      <c r="C376" s="142"/>
      <c r="D376" s="142"/>
      <c r="E376" s="142"/>
      <c r="F376" s="142"/>
    </row>
    <row r="377" ht="15.75" customHeight="1">
      <c r="A377" s="142"/>
      <c r="B377" s="142"/>
      <c r="C377" s="142"/>
      <c r="D377" s="142"/>
      <c r="E377" s="142"/>
      <c r="F377" s="142"/>
    </row>
    <row r="378" ht="15.75" customHeight="1">
      <c r="A378" s="142"/>
      <c r="B378" s="142"/>
      <c r="C378" s="142"/>
      <c r="D378" s="142"/>
      <c r="E378" s="142"/>
      <c r="F378" s="142"/>
    </row>
    <row r="379" ht="15.75" customHeight="1">
      <c r="A379" s="142"/>
      <c r="B379" s="142"/>
      <c r="C379" s="142"/>
      <c r="D379" s="142"/>
      <c r="E379" s="142"/>
      <c r="F379" s="142"/>
    </row>
    <row r="380" ht="15.75" customHeight="1">
      <c r="A380" s="142"/>
      <c r="B380" s="142"/>
      <c r="C380" s="142"/>
      <c r="D380" s="142"/>
      <c r="E380" s="142"/>
      <c r="F380" s="142"/>
    </row>
    <row r="381" ht="15.75" customHeight="1">
      <c r="A381" s="142"/>
      <c r="B381" s="142"/>
      <c r="C381" s="142"/>
      <c r="D381" s="142"/>
      <c r="E381" s="142"/>
      <c r="F381" s="142"/>
    </row>
    <row r="382" ht="15.75" customHeight="1">
      <c r="A382" s="142"/>
      <c r="B382" s="142"/>
      <c r="C382" s="142"/>
      <c r="D382" s="142"/>
      <c r="E382" s="142"/>
      <c r="F382" s="142"/>
    </row>
    <row r="383" ht="15.75" customHeight="1">
      <c r="A383" s="142"/>
      <c r="B383" s="142"/>
      <c r="C383" s="142"/>
      <c r="D383" s="142"/>
      <c r="E383" s="142"/>
      <c r="F383" s="142"/>
    </row>
    <row r="384" ht="15.75" customHeight="1">
      <c r="A384" s="142"/>
      <c r="B384" s="142"/>
      <c r="C384" s="142"/>
      <c r="D384" s="142"/>
      <c r="E384" s="142"/>
      <c r="F384" s="142"/>
    </row>
    <row r="385" ht="15.75" customHeight="1">
      <c r="A385" s="142"/>
      <c r="B385" s="142"/>
      <c r="C385" s="142"/>
      <c r="D385" s="142"/>
      <c r="E385" s="142"/>
      <c r="F385" s="142"/>
    </row>
    <row r="386" ht="15.75" customHeight="1">
      <c r="A386" s="142"/>
      <c r="B386" s="142"/>
      <c r="C386" s="142"/>
      <c r="D386" s="142"/>
      <c r="E386" s="142"/>
      <c r="F386" s="142"/>
    </row>
    <row r="387" ht="15.75" customHeight="1">
      <c r="A387" s="142"/>
      <c r="B387" s="142"/>
      <c r="C387" s="142"/>
      <c r="D387" s="142"/>
      <c r="E387" s="142"/>
      <c r="F387" s="142"/>
    </row>
    <row r="388" ht="15.75" customHeight="1">
      <c r="A388" s="142"/>
      <c r="B388" s="142"/>
      <c r="C388" s="142"/>
      <c r="D388" s="142"/>
      <c r="E388" s="142"/>
      <c r="F388" s="142"/>
    </row>
    <row r="389" ht="15.75" customHeight="1">
      <c r="A389" s="142"/>
      <c r="B389" s="142"/>
      <c r="C389" s="142"/>
      <c r="D389" s="142"/>
      <c r="E389" s="142"/>
      <c r="F389" s="142"/>
    </row>
    <row r="390" ht="15.75" customHeight="1">
      <c r="A390" s="142"/>
      <c r="B390" s="142"/>
      <c r="C390" s="142"/>
      <c r="D390" s="142"/>
      <c r="E390" s="142"/>
      <c r="F390" s="142"/>
    </row>
    <row r="391" ht="15.75" customHeight="1">
      <c r="A391" s="142"/>
      <c r="B391" s="142"/>
      <c r="C391" s="142"/>
      <c r="D391" s="142"/>
      <c r="E391" s="142"/>
      <c r="F391" s="142"/>
    </row>
    <row r="392" ht="15.75" customHeight="1">
      <c r="A392" s="142"/>
      <c r="B392" s="142"/>
      <c r="C392" s="142"/>
      <c r="D392" s="142"/>
      <c r="E392" s="142"/>
      <c r="F392" s="142"/>
    </row>
    <row r="393" ht="15.75" customHeight="1">
      <c r="A393" s="142"/>
      <c r="B393" s="142"/>
      <c r="C393" s="142"/>
      <c r="D393" s="142"/>
      <c r="E393" s="142"/>
      <c r="F393" s="142"/>
    </row>
    <row r="394" ht="15.75" customHeight="1">
      <c r="A394" s="142"/>
      <c r="B394" s="142"/>
      <c r="C394" s="142"/>
      <c r="D394" s="142"/>
      <c r="E394" s="142"/>
      <c r="F394" s="142"/>
    </row>
    <row r="395" ht="15.75" customHeight="1">
      <c r="A395" s="142"/>
      <c r="B395" s="142"/>
      <c r="C395" s="142"/>
      <c r="D395" s="142"/>
      <c r="E395" s="142"/>
      <c r="F395" s="142"/>
    </row>
    <row r="396" ht="15.75" customHeight="1">
      <c r="A396" s="142"/>
      <c r="B396" s="142"/>
      <c r="C396" s="142"/>
      <c r="D396" s="142"/>
      <c r="E396" s="142"/>
      <c r="F396" s="142"/>
    </row>
    <row r="397" ht="15.75" customHeight="1">
      <c r="A397" s="142"/>
      <c r="B397" s="142"/>
      <c r="C397" s="142"/>
      <c r="D397" s="142"/>
      <c r="E397" s="142"/>
      <c r="F397" s="142"/>
    </row>
    <row r="398" ht="15.75" customHeight="1">
      <c r="A398" s="142"/>
      <c r="B398" s="142"/>
      <c r="C398" s="142"/>
      <c r="D398" s="142"/>
      <c r="E398" s="142"/>
      <c r="F398" s="142"/>
    </row>
    <row r="399" ht="15.75" customHeight="1">
      <c r="A399" s="142"/>
      <c r="B399" s="142"/>
      <c r="C399" s="142"/>
      <c r="D399" s="142"/>
      <c r="E399" s="142"/>
      <c r="F399" s="142"/>
    </row>
    <row r="400" ht="15.75" customHeight="1">
      <c r="A400" s="142"/>
      <c r="B400" s="142"/>
      <c r="C400" s="142"/>
      <c r="D400" s="142"/>
      <c r="E400" s="142"/>
      <c r="F400" s="142"/>
    </row>
    <row r="401" ht="15.75" customHeight="1">
      <c r="A401" s="142"/>
      <c r="B401" s="142"/>
      <c r="C401" s="142"/>
      <c r="D401" s="142"/>
      <c r="E401" s="142"/>
      <c r="F401" s="142"/>
    </row>
    <row r="402" ht="15.75" customHeight="1">
      <c r="A402" s="142"/>
      <c r="B402" s="142"/>
      <c r="C402" s="142"/>
      <c r="D402" s="142"/>
      <c r="E402" s="142"/>
      <c r="F402" s="142"/>
    </row>
    <row r="403" ht="15.75" customHeight="1">
      <c r="A403" s="142"/>
      <c r="B403" s="142"/>
      <c r="C403" s="142"/>
      <c r="D403" s="142"/>
      <c r="E403" s="142"/>
      <c r="F403" s="142"/>
    </row>
    <row r="404" ht="15.75" customHeight="1">
      <c r="A404" s="142"/>
      <c r="B404" s="142"/>
      <c r="C404" s="142"/>
      <c r="D404" s="142"/>
      <c r="E404" s="142"/>
      <c r="F404" s="142"/>
    </row>
    <row r="405" ht="15.75" customHeight="1">
      <c r="A405" s="142"/>
      <c r="B405" s="142"/>
      <c r="C405" s="142"/>
      <c r="D405" s="142"/>
      <c r="E405" s="142"/>
      <c r="F405" s="142"/>
    </row>
    <row r="406" ht="15.75" customHeight="1">
      <c r="A406" s="142"/>
      <c r="B406" s="142"/>
      <c r="C406" s="142"/>
      <c r="D406" s="142"/>
      <c r="E406" s="142"/>
      <c r="F406" s="142"/>
    </row>
    <row r="407" ht="15.75" customHeight="1">
      <c r="A407" s="142"/>
      <c r="B407" s="142"/>
      <c r="C407" s="142"/>
      <c r="D407" s="142"/>
      <c r="E407" s="142"/>
      <c r="F407" s="142"/>
    </row>
    <row r="408" ht="15.75" customHeight="1">
      <c r="A408" s="142"/>
      <c r="B408" s="142"/>
      <c r="C408" s="142"/>
      <c r="D408" s="142"/>
      <c r="E408" s="142"/>
      <c r="F408" s="142"/>
    </row>
    <row r="409" ht="15.75" customHeight="1">
      <c r="A409" s="142"/>
      <c r="B409" s="142"/>
      <c r="C409" s="142"/>
      <c r="D409" s="142"/>
      <c r="E409" s="142"/>
      <c r="F409" s="142"/>
    </row>
    <row r="410" ht="15.75" customHeight="1">
      <c r="A410" s="142"/>
      <c r="B410" s="142"/>
      <c r="C410" s="142"/>
      <c r="D410" s="142"/>
      <c r="E410" s="142"/>
      <c r="F410" s="142"/>
    </row>
    <row r="411" ht="15.75" customHeight="1">
      <c r="A411" s="142"/>
      <c r="B411" s="142"/>
      <c r="C411" s="142"/>
      <c r="D411" s="142"/>
      <c r="E411" s="142"/>
      <c r="F411" s="142"/>
    </row>
    <row r="412" ht="15.75" customHeight="1">
      <c r="A412" s="142"/>
      <c r="B412" s="142"/>
      <c r="C412" s="142"/>
      <c r="D412" s="142"/>
      <c r="E412" s="142"/>
      <c r="F412" s="142"/>
    </row>
    <row r="413" ht="15.75" customHeight="1">
      <c r="A413" s="142"/>
      <c r="B413" s="142"/>
      <c r="C413" s="142"/>
      <c r="D413" s="142"/>
      <c r="E413" s="142"/>
      <c r="F413" s="142"/>
    </row>
    <row r="414" ht="15.75" customHeight="1">
      <c r="A414" s="142"/>
      <c r="B414" s="142"/>
      <c r="C414" s="142"/>
      <c r="D414" s="142"/>
      <c r="E414" s="142"/>
      <c r="F414" s="142"/>
    </row>
    <row r="415" ht="15.75" customHeight="1">
      <c r="A415" s="142"/>
      <c r="B415" s="142"/>
      <c r="C415" s="142"/>
      <c r="D415" s="142"/>
      <c r="E415" s="142"/>
      <c r="F415" s="142"/>
    </row>
    <row r="416" ht="15.75" customHeight="1">
      <c r="A416" s="142"/>
      <c r="B416" s="142"/>
      <c r="C416" s="142"/>
      <c r="D416" s="142"/>
      <c r="E416" s="142"/>
      <c r="F416" s="142"/>
    </row>
    <row r="417" ht="15.75" customHeight="1">
      <c r="A417" s="142"/>
      <c r="B417" s="142"/>
      <c r="C417" s="142"/>
      <c r="D417" s="142"/>
      <c r="E417" s="142"/>
      <c r="F417" s="142"/>
    </row>
    <row r="418" ht="15.75" customHeight="1">
      <c r="A418" s="142"/>
      <c r="B418" s="142"/>
      <c r="C418" s="142"/>
      <c r="D418" s="142"/>
      <c r="E418" s="142"/>
      <c r="F418" s="142"/>
    </row>
    <row r="419" ht="15.75" customHeight="1">
      <c r="A419" s="142"/>
      <c r="B419" s="142"/>
      <c r="C419" s="142"/>
      <c r="D419" s="142"/>
      <c r="E419" s="142"/>
      <c r="F419" s="142"/>
    </row>
    <row r="420" ht="15.75" customHeight="1">
      <c r="A420" s="142"/>
      <c r="B420" s="142"/>
      <c r="C420" s="142"/>
      <c r="D420" s="142"/>
      <c r="E420" s="142"/>
      <c r="F420" s="142"/>
    </row>
    <row r="421" ht="15.75" customHeight="1">
      <c r="A421" s="142"/>
      <c r="B421" s="142"/>
      <c r="C421" s="142"/>
      <c r="D421" s="142"/>
      <c r="E421" s="142"/>
      <c r="F421" s="142"/>
    </row>
    <row r="422" ht="15.75" customHeight="1">
      <c r="A422" s="142"/>
      <c r="B422" s="142"/>
      <c r="C422" s="142"/>
      <c r="D422" s="142"/>
      <c r="E422" s="142"/>
      <c r="F422" s="142"/>
    </row>
    <row r="423" ht="15.75" customHeight="1">
      <c r="A423" s="142"/>
      <c r="B423" s="142"/>
      <c r="C423" s="142"/>
      <c r="D423" s="142"/>
      <c r="E423" s="142"/>
      <c r="F423" s="142"/>
    </row>
    <row r="424" ht="15.75" customHeight="1">
      <c r="A424" s="142"/>
      <c r="B424" s="142"/>
      <c r="C424" s="142"/>
      <c r="D424" s="142"/>
      <c r="E424" s="142"/>
      <c r="F424" s="142"/>
    </row>
    <row r="425" ht="15.75" customHeight="1">
      <c r="A425" s="142"/>
      <c r="B425" s="142"/>
      <c r="C425" s="142"/>
      <c r="D425" s="142"/>
      <c r="E425" s="142"/>
      <c r="F425" s="142"/>
    </row>
    <row r="426" ht="15.75" customHeight="1">
      <c r="A426" s="142"/>
      <c r="B426" s="142"/>
      <c r="C426" s="142"/>
      <c r="D426" s="142"/>
      <c r="E426" s="142"/>
      <c r="F426" s="142"/>
    </row>
    <row r="427" ht="15.75" customHeight="1">
      <c r="A427" s="142"/>
      <c r="B427" s="142"/>
      <c r="C427" s="142"/>
      <c r="D427" s="142"/>
      <c r="E427" s="142"/>
      <c r="F427" s="142"/>
    </row>
    <row r="428" ht="15.75" customHeight="1">
      <c r="A428" s="142"/>
      <c r="B428" s="142"/>
      <c r="C428" s="142"/>
      <c r="D428" s="142"/>
      <c r="E428" s="142"/>
      <c r="F428" s="142"/>
    </row>
    <row r="429" ht="15.75" customHeight="1">
      <c r="A429" s="142"/>
      <c r="B429" s="142"/>
      <c r="C429" s="142"/>
      <c r="D429" s="142"/>
      <c r="E429" s="142"/>
      <c r="F429" s="142"/>
    </row>
    <row r="430" ht="15.75" customHeight="1">
      <c r="A430" s="142"/>
      <c r="B430" s="142"/>
      <c r="C430" s="142"/>
      <c r="D430" s="142"/>
      <c r="E430" s="142"/>
      <c r="F430" s="142"/>
    </row>
    <row r="431" ht="15.75" customHeight="1">
      <c r="A431" s="142"/>
      <c r="B431" s="142"/>
      <c r="C431" s="142"/>
      <c r="D431" s="142"/>
      <c r="E431" s="142"/>
      <c r="F431" s="142"/>
    </row>
    <row r="432" ht="15.75" customHeight="1">
      <c r="A432" s="142"/>
      <c r="B432" s="142"/>
      <c r="C432" s="142"/>
      <c r="D432" s="142"/>
      <c r="E432" s="142"/>
      <c r="F432" s="142"/>
    </row>
    <row r="433" ht="15.75" customHeight="1">
      <c r="A433" s="142"/>
      <c r="B433" s="142"/>
      <c r="C433" s="142"/>
      <c r="D433" s="142"/>
      <c r="E433" s="142"/>
      <c r="F433" s="142"/>
    </row>
    <row r="434" ht="15.75" customHeight="1">
      <c r="A434" s="142"/>
      <c r="B434" s="142"/>
      <c r="C434" s="142"/>
      <c r="D434" s="142"/>
      <c r="E434" s="142"/>
      <c r="F434" s="142"/>
    </row>
    <row r="435" ht="15.75" customHeight="1">
      <c r="A435" s="142"/>
      <c r="B435" s="142"/>
      <c r="C435" s="142"/>
      <c r="D435" s="142"/>
      <c r="E435" s="142"/>
      <c r="F435" s="142"/>
    </row>
    <row r="436" ht="15.75" customHeight="1">
      <c r="A436" s="142"/>
      <c r="B436" s="142"/>
      <c r="C436" s="142"/>
      <c r="D436" s="142"/>
      <c r="E436" s="142"/>
      <c r="F436" s="142"/>
    </row>
    <row r="437" ht="15.75" customHeight="1">
      <c r="A437" s="142"/>
      <c r="B437" s="142"/>
      <c r="C437" s="142"/>
      <c r="D437" s="142"/>
      <c r="E437" s="142"/>
      <c r="F437" s="142"/>
    </row>
    <row r="438" ht="15.75" customHeight="1">
      <c r="A438" s="142"/>
      <c r="B438" s="142"/>
      <c r="C438" s="142"/>
      <c r="D438" s="142"/>
      <c r="E438" s="142"/>
      <c r="F438" s="142"/>
    </row>
    <row r="439" ht="15.75" customHeight="1">
      <c r="A439" s="142"/>
      <c r="B439" s="142"/>
      <c r="C439" s="142"/>
      <c r="D439" s="142"/>
      <c r="E439" s="142"/>
      <c r="F439" s="142"/>
    </row>
    <row r="440" ht="15.75" customHeight="1">
      <c r="A440" s="142"/>
      <c r="B440" s="142"/>
      <c r="C440" s="142"/>
      <c r="D440" s="142"/>
      <c r="E440" s="142"/>
      <c r="F440" s="142"/>
    </row>
    <row r="441" ht="15.75" customHeight="1">
      <c r="A441" s="142"/>
      <c r="B441" s="142"/>
      <c r="C441" s="142"/>
      <c r="D441" s="142"/>
      <c r="E441" s="142"/>
      <c r="F441" s="142"/>
    </row>
    <row r="442" ht="15.75" customHeight="1">
      <c r="A442" s="142"/>
      <c r="B442" s="142"/>
      <c r="C442" s="142"/>
      <c r="D442" s="142"/>
      <c r="E442" s="142"/>
      <c r="F442" s="142"/>
    </row>
    <row r="443" ht="15.75" customHeight="1">
      <c r="A443" s="142"/>
      <c r="B443" s="142"/>
      <c r="C443" s="142"/>
      <c r="D443" s="142"/>
      <c r="E443" s="142"/>
      <c r="F443" s="142"/>
    </row>
    <row r="444" ht="15.75" customHeight="1">
      <c r="A444" s="142"/>
      <c r="B444" s="142"/>
      <c r="C444" s="142"/>
      <c r="D444" s="142"/>
      <c r="E444" s="142"/>
      <c r="F444" s="142"/>
    </row>
    <row r="445" ht="15.75" customHeight="1">
      <c r="A445" s="142"/>
      <c r="B445" s="142"/>
      <c r="C445" s="142"/>
      <c r="D445" s="142"/>
      <c r="E445" s="142"/>
      <c r="F445" s="142"/>
    </row>
    <row r="446" ht="15.75" customHeight="1">
      <c r="A446" s="142"/>
      <c r="B446" s="142"/>
      <c r="C446" s="142"/>
      <c r="D446" s="142"/>
      <c r="E446" s="142"/>
      <c r="F446" s="142"/>
    </row>
    <row r="447" ht="15.75" customHeight="1">
      <c r="A447" s="142"/>
      <c r="B447" s="142"/>
      <c r="C447" s="142"/>
      <c r="D447" s="142"/>
      <c r="E447" s="142"/>
      <c r="F447" s="142"/>
    </row>
    <row r="448" ht="15.75" customHeight="1">
      <c r="A448" s="142"/>
      <c r="B448" s="142"/>
      <c r="C448" s="142"/>
      <c r="D448" s="142"/>
      <c r="E448" s="142"/>
      <c r="F448" s="142"/>
    </row>
    <row r="449" ht="15.75" customHeight="1">
      <c r="A449" s="142"/>
      <c r="B449" s="142"/>
      <c r="C449" s="142"/>
      <c r="D449" s="142"/>
      <c r="E449" s="142"/>
      <c r="F449" s="142"/>
    </row>
    <row r="450" ht="15.75" customHeight="1">
      <c r="A450" s="142"/>
      <c r="B450" s="142"/>
      <c r="C450" s="142"/>
      <c r="D450" s="142"/>
      <c r="E450" s="142"/>
      <c r="F450" s="142"/>
    </row>
    <row r="451" ht="15.75" customHeight="1">
      <c r="A451" s="142"/>
      <c r="B451" s="142"/>
      <c r="C451" s="142"/>
      <c r="D451" s="142"/>
      <c r="E451" s="142"/>
      <c r="F451" s="142"/>
    </row>
    <row r="452" ht="15.75" customHeight="1">
      <c r="A452" s="142"/>
      <c r="B452" s="142"/>
      <c r="C452" s="142"/>
      <c r="D452" s="142"/>
      <c r="E452" s="142"/>
      <c r="F452" s="142"/>
    </row>
    <row r="453" ht="15.75" customHeight="1">
      <c r="A453" s="142"/>
      <c r="B453" s="142"/>
      <c r="C453" s="142"/>
      <c r="D453" s="142"/>
      <c r="E453" s="142"/>
      <c r="F453" s="142"/>
    </row>
    <row r="454" ht="15.75" customHeight="1">
      <c r="A454" s="142"/>
      <c r="B454" s="142"/>
      <c r="C454" s="142"/>
      <c r="D454" s="142"/>
      <c r="E454" s="142"/>
      <c r="F454" s="142"/>
    </row>
    <row r="455" ht="15.75" customHeight="1">
      <c r="A455" s="142"/>
      <c r="B455" s="142"/>
      <c r="C455" s="142"/>
      <c r="D455" s="142"/>
      <c r="E455" s="142"/>
      <c r="F455" s="142"/>
    </row>
    <row r="456" ht="15.75" customHeight="1">
      <c r="A456" s="142"/>
      <c r="B456" s="142"/>
      <c r="C456" s="142"/>
      <c r="D456" s="142"/>
      <c r="E456" s="142"/>
      <c r="F456" s="142"/>
    </row>
    <row r="457" ht="15.75" customHeight="1">
      <c r="A457" s="142"/>
      <c r="B457" s="142"/>
      <c r="C457" s="142"/>
      <c r="D457" s="142"/>
      <c r="E457" s="142"/>
      <c r="F457" s="142"/>
    </row>
    <row r="458" ht="15.75" customHeight="1">
      <c r="A458" s="142"/>
      <c r="B458" s="142"/>
      <c r="C458" s="142"/>
      <c r="D458" s="142"/>
      <c r="E458" s="142"/>
      <c r="F458" s="142"/>
    </row>
    <row r="459" ht="15.75" customHeight="1">
      <c r="A459" s="142"/>
      <c r="B459" s="142"/>
      <c r="C459" s="142"/>
      <c r="D459" s="142"/>
      <c r="E459" s="142"/>
      <c r="F459" s="142"/>
    </row>
    <row r="460" ht="15.75" customHeight="1">
      <c r="A460" s="142"/>
      <c r="B460" s="142"/>
      <c r="C460" s="142"/>
      <c r="D460" s="142"/>
      <c r="E460" s="142"/>
      <c r="F460" s="142"/>
    </row>
    <row r="461" ht="15.75" customHeight="1">
      <c r="A461" s="142"/>
      <c r="B461" s="142"/>
      <c r="C461" s="142"/>
      <c r="D461" s="142"/>
      <c r="E461" s="142"/>
      <c r="F461" s="142"/>
    </row>
    <row r="462" ht="15.75" customHeight="1">
      <c r="A462" s="142"/>
      <c r="B462" s="142"/>
      <c r="C462" s="142"/>
      <c r="D462" s="142"/>
      <c r="E462" s="142"/>
      <c r="F462" s="142"/>
    </row>
    <row r="463" ht="15.75" customHeight="1">
      <c r="A463" s="142"/>
      <c r="B463" s="142"/>
      <c r="C463" s="142"/>
      <c r="D463" s="142"/>
      <c r="E463" s="142"/>
      <c r="F463" s="142"/>
    </row>
    <row r="464" ht="15.75" customHeight="1">
      <c r="A464" s="142"/>
      <c r="B464" s="142"/>
      <c r="C464" s="142"/>
      <c r="D464" s="142"/>
      <c r="E464" s="142"/>
      <c r="F464" s="142"/>
    </row>
    <row r="465" ht="15.75" customHeight="1">
      <c r="A465" s="142"/>
      <c r="B465" s="142"/>
      <c r="C465" s="142"/>
      <c r="D465" s="142"/>
      <c r="E465" s="142"/>
      <c r="F465" s="142"/>
    </row>
    <row r="466" ht="15.75" customHeight="1">
      <c r="A466" s="142"/>
      <c r="B466" s="142"/>
      <c r="C466" s="142"/>
      <c r="D466" s="142"/>
      <c r="E466" s="142"/>
      <c r="F466" s="142"/>
    </row>
    <row r="467" ht="15.75" customHeight="1">
      <c r="A467" s="142"/>
      <c r="B467" s="142"/>
      <c r="C467" s="142"/>
      <c r="D467" s="142"/>
      <c r="E467" s="142"/>
      <c r="F467" s="142"/>
    </row>
    <row r="468" ht="15.75" customHeight="1">
      <c r="A468" s="142"/>
      <c r="B468" s="142"/>
      <c r="C468" s="142"/>
      <c r="D468" s="142"/>
      <c r="E468" s="142"/>
      <c r="F468" s="142"/>
    </row>
    <row r="469" ht="15.75" customHeight="1">
      <c r="A469" s="142"/>
      <c r="B469" s="142"/>
      <c r="C469" s="142"/>
      <c r="D469" s="142"/>
      <c r="E469" s="142"/>
      <c r="F469" s="142"/>
    </row>
    <row r="470" ht="15.75" customHeight="1">
      <c r="A470" s="142"/>
      <c r="B470" s="142"/>
      <c r="C470" s="142"/>
      <c r="D470" s="142"/>
      <c r="E470" s="142"/>
      <c r="F470" s="142"/>
    </row>
    <row r="471" ht="15.75" customHeight="1">
      <c r="A471" s="142"/>
      <c r="B471" s="142"/>
      <c r="C471" s="142"/>
      <c r="D471" s="142"/>
      <c r="E471" s="142"/>
      <c r="F471" s="142"/>
    </row>
    <row r="472" ht="15.75" customHeight="1">
      <c r="A472" s="142"/>
      <c r="B472" s="142"/>
      <c r="C472" s="142"/>
      <c r="D472" s="142"/>
      <c r="E472" s="142"/>
      <c r="F472" s="142"/>
    </row>
    <row r="473" ht="15.75" customHeight="1">
      <c r="A473" s="142"/>
      <c r="B473" s="142"/>
      <c r="C473" s="142"/>
      <c r="D473" s="142"/>
      <c r="E473" s="142"/>
      <c r="F473" s="142"/>
    </row>
    <row r="474" ht="15.75" customHeight="1">
      <c r="A474" s="142"/>
      <c r="B474" s="142"/>
      <c r="C474" s="142"/>
      <c r="D474" s="142"/>
      <c r="E474" s="142"/>
      <c r="F474" s="142"/>
    </row>
    <row r="475" ht="15.75" customHeight="1">
      <c r="A475" s="142"/>
      <c r="B475" s="142"/>
      <c r="C475" s="142"/>
      <c r="D475" s="142"/>
      <c r="E475" s="142"/>
      <c r="F475" s="142"/>
    </row>
    <row r="476" ht="15.75" customHeight="1">
      <c r="A476" s="142"/>
      <c r="B476" s="142"/>
      <c r="C476" s="142"/>
      <c r="D476" s="142"/>
      <c r="E476" s="142"/>
      <c r="F476" s="142"/>
    </row>
    <row r="477" ht="15.75" customHeight="1">
      <c r="A477" s="142"/>
      <c r="B477" s="142"/>
      <c r="C477" s="142"/>
      <c r="D477" s="142"/>
      <c r="E477" s="142"/>
      <c r="F477" s="142"/>
    </row>
    <row r="478" ht="15.75" customHeight="1">
      <c r="A478" s="142"/>
      <c r="B478" s="142"/>
      <c r="C478" s="142"/>
      <c r="D478" s="142"/>
      <c r="E478" s="142"/>
      <c r="F478" s="142"/>
    </row>
    <row r="479" ht="15.75" customHeight="1">
      <c r="A479" s="142"/>
      <c r="B479" s="142"/>
      <c r="C479" s="142"/>
      <c r="D479" s="142"/>
      <c r="E479" s="142"/>
      <c r="F479" s="142"/>
    </row>
    <row r="480" ht="15.75" customHeight="1">
      <c r="A480" s="142"/>
      <c r="B480" s="142"/>
      <c r="C480" s="142"/>
      <c r="D480" s="142"/>
      <c r="E480" s="142"/>
      <c r="F480" s="142"/>
    </row>
    <row r="481" ht="15.75" customHeight="1">
      <c r="A481" s="142"/>
      <c r="B481" s="142"/>
      <c r="C481" s="142"/>
      <c r="D481" s="142"/>
      <c r="E481" s="142"/>
      <c r="F481" s="142"/>
    </row>
    <row r="482" ht="15.75" customHeight="1">
      <c r="A482" s="142"/>
      <c r="B482" s="142"/>
      <c r="C482" s="142"/>
      <c r="D482" s="142"/>
      <c r="E482" s="142"/>
      <c r="F482" s="142"/>
    </row>
    <row r="483" ht="15.75" customHeight="1">
      <c r="A483" s="142"/>
      <c r="B483" s="142"/>
      <c r="C483" s="142"/>
      <c r="D483" s="142"/>
      <c r="E483" s="142"/>
      <c r="F483" s="142"/>
    </row>
    <row r="484" ht="15.75" customHeight="1">
      <c r="A484" s="142"/>
      <c r="B484" s="142"/>
      <c r="C484" s="142"/>
      <c r="D484" s="142"/>
      <c r="E484" s="142"/>
      <c r="F484" s="142"/>
    </row>
    <row r="485" ht="15.75" customHeight="1">
      <c r="A485" s="142"/>
      <c r="B485" s="142"/>
      <c r="C485" s="142"/>
      <c r="D485" s="142"/>
      <c r="E485" s="142"/>
      <c r="F485" s="142"/>
    </row>
    <row r="486" ht="15.75" customHeight="1">
      <c r="A486" s="142"/>
      <c r="B486" s="142"/>
      <c r="C486" s="142"/>
      <c r="D486" s="142"/>
      <c r="E486" s="142"/>
      <c r="F486" s="142"/>
    </row>
    <row r="487" ht="15.75" customHeight="1">
      <c r="A487" s="142"/>
      <c r="B487" s="142"/>
      <c r="C487" s="142"/>
      <c r="D487" s="142"/>
      <c r="E487" s="142"/>
      <c r="F487" s="142"/>
    </row>
    <row r="488" ht="15.75" customHeight="1">
      <c r="A488" s="142"/>
      <c r="B488" s="142"/>
      <c r="C488" s="142"/>
      <c r="D488" s="142"/>
      <c r="E488" s="142"/>
      <c r="F488" s="142"/>
    </row>
    <row r="489" ht="15.75" customHeight="1">
      <c r="A489" s="142"/>
      <c r="B489" s="142"/>
      <c r="C489" s="142"/>
      <c r="D489" s="142"/>
      <c r="E489" s="142"/>
      <c r="F489" s="142"/>
    </row>
    <row r="490" ht="15.75" customHeight="1">
      <c r="A490" s="142"/>
      <c r="B490" s="142"/>
      <c r="C490" s="142"/>
      <c r="D490" s="142"/>
      <c r="E490" s="142"/>
      <c r="F490" s="142"/>
    </row>
    <row r="491" ht="15.75" customHeight="1">
      <c r="A491" s="142"/>
      <c r="B491" s="142"/>
      <c r="C491" s="142"/>
      <c r="D491" s="142"/>
      <c r="E491" s="142"/>
      <c r="F491" s="142"/>
    </row>
    <row r="492" ht="15.75" customHeight="1">
      <c r="A492" s="142"/>
      <c r="B492" s="142"/>
      <c r="C492" s="142"/>
      <c r="D492" s="142"/>
      <c r="E492" s="142"/>
      <c r="F492" s="142"/>
    </row>
    <row r="493" ht="15.75" customHeight="1">
      <c r="A493" s="142"/>
      <c r="B493" s="142"/>
      <c r="C493" s="142"/>
      <c r="D493" s="142"/>
      <c r="E493" s="142"/>
      <c r="F493" s="142"/>
    </row>
    <row r="494" ht="15.75" customHeight="1">
      <c r="A494" s="142"/>
      <c r="B494" s="142"/>
      <c r="C494" s="142"/>
      <c r="D494" s="142"/>
      <c r="E494" s="142"/>
      <c r="F494" s="142"/>
    </row>
    <row r="495" ht="15.75" customHeight="1">
      <c r="A495" s="142"/>
      <c r="B495" s="142"/>
      <c r="C495" s="142"/>
      <c r="D495" s="142"/>
      <c r="E495" s="142"/>
      <c r="F495" s="142"/>
    </row>
    <row r="496" ht="15.75" customHeight="1">
      <c r="A496" s="142"/>
      <c r="B496" s="142"/>
      <c r="C496" s="142"/>
      <c r="D496" s="142"/>
      <c r="E496" s="142"/>
      <c r="F496" s="142"/>
    </row>
    <row r="497" ht="15.75" customHeight="1">
      <c r="A497" s="142"/>
      <c r="B497" s="142"/>
      <c r="C497" s="142"/>
      <c r="D497" s="142"/>
      <c r="E497" s="142"/>
      <c r="F497" s="142"/>
    </row>
    <row r="498" ht="15.75" customHeight="1">
      <c r="A498" s="142"/>
      <c r="B498" s="142"/>
      <c r="C498" s="142"/>
      <c r="D498" s="142"/>
      <c r="E498" s="142"/>
      <c r="F498" s="142"/>
    </row>
    <row r="499" ht="15.75" customHeight="1">
      <c r="A499" s="142"/>
      <c r="B499" s="142"/>
      <c r="C499" s="142"/>
      <c r="D499" s="142"/>
      <c r="E499" s="142"/>
      <c r="F499" s="142"/>
    </row>
    <row r="500" ht="15.75" customHeight="1">
      <c r="A500" s="142"/>
      <c r="B500" s="142"/>
      <c r="C500" s="142"/>
      <c r="D500" s="142"/>
      <c r="E500" s="142"/>
      <c r="F500" s="142"/>
    </row>
    <row r="501" ht="15.75" customHeight="1">
      <c r="A501" s="142"/>
      <c r="B501" s="142"/>
      <c r="C501" s="142"/>
      <c r="D501" s="142"/>
      <c r="E501" s="142"/>
      <c r="F501" s="142"/>
    </row>
    <row r="502" ht="15.75" customHeight="1">
      <c r="A502" s="142"/>
      <c r="B502" s="142"/>
      <c r="C502" s="142"/>
      <c r="D502" s="142"/>
      <c r="E502" s="142"/>
      <c r="F502" s="142"/>
    </row>
    <row r="503" ht="15.75" customHeight="1">
      <c r="A503" s="142"/>
      <c r="B503" s="142"/>
      <c r="C503" s="142"/>
      <c r="D503" s="142"/>
      <c r="E503" s="142"/>
      <c r="F503" s="142"/>
    </row>
    <row r="504" ht="15.75" customHeight="1">
      <c r="A504" s="142"/>
      <c r="B504" s="142"/>
      <c r="C504" s="142"/>
      <c r="D504" s="142"/>
      <c r="E504" s="142"/>
      <c r="F504" s="142"/>
    </row>
    <row r="505" ht="15.75" customHeight="1">
      <c r="A505" s="142"/>
      <c r="B505" s="142"/>
      <c r="C505" s="142"/>
      <c r="D505" s="142"/>
      <c r="E505" s="142"/>
      <c r="F505" s="142"/>
    </row>
    <row r="506" ht="15.75" customHeight="1">
      <c r="A506" s="142"/>
      <c r="B506" s="142"/>
      <c r="C506" s="142"/>
      <c r="D506" s="142"/>
      <c r="E506" s="142"/>
      <c r="F506" s="142"/>
    </row>
    <row r="507" ht="15.75" customHeight="1">
      <c r="A507" s="142"/>
      <c r="B507" s="142"/>
      <c r="C507" s="142"/>
      <c r="D507" s="142"/>
      <c r="E507" s="142"/>
      <c r="F507" s="142"/>
    </row>
    <row r="508" ht="15.75" customHeight="1">
      <c r="A508" s="142"/>
      <c r="B508" s="142"/>
      <c r="C508" s="142"/>
      <c r="D508" s="142"/>
      <c r="E508" s="142"/>
      <c r="F508" s="142"/>
    </row>
    <row r="509" ht="15.75" customHeight="1">
      <c r="A509" s="142"/>
      <c r="B509" s="142"/>
      <c r="C509" s="142"/>
      <c r="D509" s="142"/>
      <c r="E509" s="142"/>
      <c r="F509" s="142"/>
    </row>
    <row r="510" ht="15.75" customHeight="1">
      <c r="A510" s="142"/>
      <c r="B510" s="142"/>
      <c r="C510" s="142"/>
      <c r="D510" s="142"/>
      <c r="E510" s="142"/>
      <c r="F510" s="142"/>
    </row>
    <row r="511" ht="15.75" customHeight="1">
      <c r="A511" s="142"/>
      <c r="B511" s="142"/>
      <c r="C511" s="142"/>
      <c r="D511" s="142"/>
      <c r="E511" s="142"/>
      <c r="F511" s="142"/>
    </row>
    <row r="512" ht="15.75" customHeight="1">
      <c r="A512" s="142"/>
      <c r="B512" s="142"/>
      <c r="C512" s="142"/>
      <c r="D512" s="142"/>
      <c r="E512" s="142"/>
      <c r="F512" s="142"/>
    </row>
    <row r="513" ht="15.75" customHeight="1">
      <c r="A513" s="142"/>
      <c r="B513" s="142"/>
      <c r="C513" s="142"/>
      <c r="D513" s="142"/>
      <c r="E513" s="142"/>
      <c r="F513" s="142"/>
    </row>
    <row r="514" ht="15.75" customHeight="1">
      <c r="A514" s="142"/>
      <c r="B514" s="142"/>
      <c r="C514" s="142"/>
      <c r="D514" s="142"/>
      <c r="E514" s="142"/>
      <c r="F514" s="142"/>
    </row>
    <row r="515" ht="15.75" customHeight="1">
      <c r="A515" s="142"/>
      <c r="B515" s="142"/>
      <c r="C515" s="142"/>
      <c r="D515" s="142"/>
      <c r="E515" s="142"/>
      <c r="F515" s="142"/>
    </row>
    <row r="516" ht="15.75" customHeight="1">
      <c r="A516" s="142"/>
      <c r="B516" s="142"/>
      <c r="C516" s="142"/>
      <c r="D516" s="142"/>
      <c r="E516" s="142"/>
      <c r="F516" s="142"/>
    </row>
    <row r="517" ht="15.75" customHeight="1">
      <c r="A517" s="142"/>
      <c r="B517" s="142"/>
      <c r="C517" s="142"/>
      <c r="D517" s="142"/>
      <c r="E517" s="142"/>
      <c r="F517" s="142"/>
    </row>
    <row r="518" ht="15.75" customHeight="1">
      <c r="A518" s="142"/>
      <c r="B518" s="142"/>
      <c r="C518" s="142"/>
      <c r="D518" s="142"/>
      <c r="E518" s="142"/>
      <c r="F518" s="142"/>
    </row>
    <row r="519" ht="15.75" customHeight="1">
      <c r="A519" s="142"/>
      <c r="B519" s="142"/>
      <c r="C519" s="142"/>
      <c r="D519" s="142"/>
      <c r="E519" s="142"/>
      <c r="F519" s="142"/>
    </row>
    <row r="520" ht="15.75" customHeight="1">
      <c r="A520" s="142"/>
      <c r="B520" s="142"/>
      <c r="C520" s="142"/>
      <c r="D520" s="142"/>
      <c r="E520" s="142"/>
      <c r="F520" s="142"/>
    </row>
    <row r="521" ht="15.75" customHeight="1">
      <c r="A521" s="142"/>
      <c r="B521" s="142"/>
      <c r="C521" s="142"/>
      <c r="D521" s="142"/>
      <c r="E521" s="142"/>
      <c r="F521" s="142"/>
    </row>
    <row r="522" ht="15.75" customHeight="1">
      <c r="A522" s="142"/>
      <c r="B522" s="142"/>
      <c r="C522" s="142"/>
      <c r="D522" s="142"/>
      <c r="E522" s="142"/>
      <c r="F522" s="142"/>
    </row>
    <row r="523" ht="15.75" customHeight="1">
      <c r="A523" s="142"/>
      <c r="B523" s="142"/>
      <c r="C523" s="142"/>
      <c r="D523" s="142"/>
      <c r="E523" s="142"/>
      <c r="F523" s="142"/>
    </row>
    <row r="524" ht="15.75" customHeight="1">
      <c r="A524" s="142"/>
      <c r="B524" s="142"/>
      <c r="C524" s="142"/>
      <c r="D524" s="142"/>
      <c r="E524" s="142"/>
      <c r="F524" s="142"/>
    </row>
    <row r="525" ht="15.75" customHeight="1">
      <c r="A525" s="142"/>
      <c r="B525" s="142"/>
      <c r="C525" s="142"/>
      <c r="D525" s="142"/>
      <c r="E525" s="142"/>
      <c r="F525" s="142"/>
    </row>
    <row r="526" ht="15.75" customHeight="1">
      <c r="A526" s="142"/>
      <c r="B526" s="142"/>
      <c r="C526" s="142"/>
      <c r="D526" s="142"/>
      <c r="E526" s="142"/>
      <c r="F526" s="142"/>
    </row>
    <row r="527" ht="15.75" customHeight="1">
      <c r="A527" s="142"/>
      <c r="B527" s="142"/>
      <c r="C527" s="142"/>
      <c r="D527" s="142"/>
      <c r="E527" s="142"/>
      <c r="F527" s="142"/>
    </row>
    <row r="528" ht="15.75" customHeight="1">
      <c r="A528" s="142"/>
      <c r="B528" s="142"/>
      <c r="C528" s="142"/>
      <c r="D528" s="142"/>
      <c r="E528" s="142"/>
      <c r="F528" s="142"/>
    </row>
    <row r="529" ht="15.75" customHeight="1">
      <c r="A529" s="142"/>
      <c r="B529" s="142"/>
      <c r="C529" s="142"/>
      <c r="D529" s="142"/>
      <c r="E529" s="142"/>
      <c r="F529" s="142"/>
    </row>
    <row r="530" ht="15.75" customHeight="1">
      <c r="A530" s="142"/>
      <c r="B530" s="142"/>
      <c r="C530" s="142"/>
      <c r="D530" s="142"/>
      <c r="E530" s="142"/>
      <c r="F530" s="142"/>
    </row>
    <row r="531" ht="15.75" customHeight="1">
      <c r="A531" s="142"/>
      <c r="B531" s="142"/>
      <c r="C531" s="142"/>
      <c r="D531" s="142"/>
      <c r="E531" s="142"/>
      <c r="F531" s="142"/>
    </row>
    <row r="532" ht="15.75" customHeight="1">
      <c r="A532" s="142"/>
      <c r="B532" s="142"/>
      <c r="C532" s="142"/>
      <c r="D532" s="142"/>
      <c r="E532" s="142"/>
      <c r="F532" s="142"/>
    </row>
    <row r="533" ht="15.75" customHeight="1">
      <c r="A533" s="142"/>
      <c r="B533" s="142"/>
      <c r="C533" s="142"/>
      <c r="D533" s="142"/>
      <c r="E533" s="142"/>
      <c r="F533" s="142"/>
    </row>
    <row r="534" ht="15.75" customHeight="1">
      <c r="A534" s="142"/>
      <c r="B534" s="142"/>
      <c r="C534" s="142"/>
      <c r="D534" s="142"/>
      <c r="E534" s="142"/>
      <c r="F534" s="142"/>
    </row>
    <row r="535" ht="15.75" customHeight="1">
      <c r="A535" s="142"/>
      <c r="B535" s="142"/>
      <c r="C535" s="142"/>
      <c r="D535" s="142"/>
      <c r="E535" s="142"/>
      <c r="F535" s="142"/>
    </row>
    <row r="536" ht="15.75" customHeight="1">
      <c r="A536" s="142"/>
      <c r="B536" s="142"/>
      <c r="C536" s="142"/>
      <c r="D536" s="142"/>
      <c r="E536" s="142"/>
      <c r="F536" s="142"/>
    </row>
    <row r="537" ht="15.75" customHeight="1">
      <c r="A537" s="142"/>
      <c r="B537" s="142"/>
      <c r="C537" s="142"/>
      <c r="D537" s="142"/>
      <c r="E537" s="142"/>
      <c r="F537" s="142"/>
    </row>
    <row r="538" ht="15.75" customHeight="1">
      <c r="A538" s="142"/>
      <c r="B538" s="142"/>
      <c r="C538" s="142"/>
      <c r="D538" s="142"/>
      <c r="E538" s="142"/>
      <c r="F538" s="142"/>
    </row>
    <row r="539" ht="15.75" customHeight="1">
      <c r="A539" s="142"/>
      <c r="B539" s="142"/>
      <c r="C539" s="142"/>
      <c r="D539" s="142"/>
      <c r="E539" s="142"/>
      <c r="F539" s="142"/>
    </row>
    <row r="540" ht="15.75" customHeight="1">
      <c r="A540" s="142"/>
      <c r="B540" s="142"/>
      <c r="C540" s="142"/>
      <c r="D540" s="142"/>
      <c r="E540" s="142"/>
      <c r="F540" s="142"/>
    </row>
    <row r="541" ht="15.75" customHeight="1">
      <c r="A541" s="142"/>
      <c r="B541" s="142"/>
      <c r="C541" s="142"/>
      <c r="D541" s="142"/>
      <c r="E541" s="142"/>
      <c r="F541" s="142"/>
    </row>
    <row r="542" ht="15.75" customHeight="1">
      <c r="A542" s="142"/>
      <c r="B542" s="142"/>
      <c r="C542" s="142"/>
      <c r="D542" s="142"/>
      <c r="E542" s="142"/>
      <c r="F542" s="142"/>
    </row>
    <row r="543" ht="15.75" customHeight="1">
      <c r="A543" s="142"/>
      <c r="B543" s="142"/>
      <c r="C543" s="142"/>
      <c r="D543" s="142"/>
      <c r="E543" s="142"/>
      <c r="F543" s="142"/>
    </row>
    <row r="544" ht="15.75" customHeight="1">
      <c r="A544" s="142"/>
      <c r="B544" s="142"/>
      <c r="C544" s="142"/>
      <c r="D544" s="142"/>
      <c r="E544" s="142"/>
      <c r="F544" s="142"/>
    </row>
    <row r="545" ht="15.75" customHeight="1">
      <c r="A545" s="142"/>
      <c r="B545" s="142"/>
      <c r="C545" s="142"/>
      <c r="D545" s="142"/>
      <c r="E545" s="142"/>
      <c r="F545" s="142"/>
    </row>
    <row r="546" ht="15.75" customHeight="1">
      <c r="A546" s="142"/>
      <c r="B546" s="142"/>
      <c r="C546" s="142"/>
      <c r="D546" s="142"/>
      <c r="E546" s="142"/>
      <c r="F546" s="142"/>
    </row>
    <row r="547" ht="15.75" customHeight="1">
      <c r="A547" s="142"/>
      <c r="B547" s="142"/>
      <c r="C547" s="142"/>
      <c r="D547" s="142"/>
      <c r="E547" s="142"/>
      <c r="F547" s="142"/>
    </row>
    <row r="548" ht="15.75" customHeight="1">
      <c r="A548" s="142"/>
      <c r="B548" s="142"/>
      <c r="C548" s="142"/>
      <c r="D548" s="142"/>
      <c r="E548" s="142"/>
      <c r="F548" s="142"/>
    </row>
    <row r="549" ht="15.75" customHeight="1">
      <c r="A549" s="142"/>
      <c r="B549" s="142"/>
      <c r="C549" s="142"/>
      <c r="D549" s="142"/>
      <c r="E549" s="142"/>
      <c r="F549" s="142"/>
    </row>
    <row r="550" ht="15.75" customHeight="1">
      <c r="A550" s="142"/>
      <c r="B550" s="142"/>
      <c r="C550" s="142"/>
      <c r="D550" s="142"/>
      <c r="E550" s="142"/>
      <c r="F550" s="142"/>
    </row>
    <row r="551" ht="15.75" customHeight="1">
      <c r="A551" s="142"/>
      <c r="B551" s="142"/>
      <c r="C551" s="142"/>
      <c r="D551" s="142"/>
      <c r="E551" s="142"/>
      <c r="F551" s="142"/>
    </row>
    <row r="552" ht="15.75" customHeight="1">
      <c r="A552" s="142"/>
      <c r="B552" s="142"/>
      <c r="C552" s="142"/>
      <c r="D552" s="142"/>
      <c r="E552" s="142"/>
      <c r="F552" s="142"/>
    </row>
    <row r="553" ht="15.75" customHeight="1">
      <c r="A553" s="142"/>
      <c r="B553" s="142"/>
      <c r="C553" s="142"/>
      <c r="D553" s="142"/>
      <c r="E553" s="142"/>
      <c r="F553" s="142"/>
    </row>
    <row r="554" ht="15.75" customHeight="1">
      <c r="A554" s="142"/>
      <c r="B554" s="142"/>
      <c r="C554" s="142"/>
      <c r="D554" s="142"/>
      <c r="E554" s="142"/>
      <c r="F554" s="142"/>
    </row>
    <row r="555" ht="15.75" customHeight="1">
      <c r="A555" s="142"/>
      <c r="B555" s="142"/>
      <c r="C555" s="142"/>
      <c r="D555" s="142"/>
      <c r="E555" s="142"/>
      <c r="F555" s="142"/>
    </row>
    <row r="556" ht="15.75" customHeight="1">
      <c r="A556" s="142"/>
      <c r="B556" s="142"/>
      <c r="C556" s="142"/>
      <c r="D556" s="142"/>
      <c r="E556" s="142"/>
      <c r="F556" s="142"/>
    </row>
    <row r="557" ht="15.75" customHeight="1">
      <c r="A557" s="142"/>
      <c r="B557" s="142"/>
      <c r="C557" s="142"/>
      <c r="D557" s="142"/>
      <c r="E557" s="142"/>
      <c r="F557" s="142"/>
    </row>
    <row r="558" ht="15.75" customHeight="1">
      <c r="A558" s="142"/>
      <c r="B558" s="142"/>
      <c r="C558" s="142"/>
      <c r="D558" s="142"/>
      <c r="E558" s="142"/>
      <c r="F558" s="142"/>
    </row>
    <row r="559" ht="15.75" customHeight="1">
      <c r="A559" s="142"/>
      <c r="B559" s="142"/>
      <c r="C559" s="142"/>
      <c r="D559" s="142"/>
      <c r="E559" s="142"/>
      <c r="F559" s="142"/>
    </row>
    <row r="560" ht="15.75" customHeight="1">
      <c r="A560" s="142"/>
      <c r="B560" s="142"/>
      <c r="C560" s="142"/>
      <c r="D560" s="142"/>
      <c r="E560" s="142"/>
      <c r="F560" s="142"/>
    </row>
    <row r="561" ht="15.75" customHeight="1">
      <c r="A561" s="142"/>
      <c r="B561" s="142"/>
      <c r="C561" s="142"/>
      <c r="D561" s="142"/>
      <c r="E561" s="142"/>
      <c r="F561" s="142"/>
    </row>
    <row r="562" ht="15.75" customHeight="1">
      <c r="A562" s="142"/>
      <c r="B562" s="142"/>
      <c r="C562" s="142"/>
      <c r="D562" s="142"/>
      <c r="E562" s="142"/>
      <c r="F562" s="142"/>
    </row>
    <row r="563" ht="15.75" customHeight="1">
      <c r="A563" s="142"/>
      <c r="B563" s="142"/>
      <c r="C563" s="142"/>
      <c r="D563" s="142"/>
      <c r="E563" s="142"/>
      <c r="F563" s="142"/>
    </row>
    <row r="564" ht="15.75" customHeight="1">
      <c r="A564" s="142"/>
      <c r="B564" s="142"/>
      <c r="C564" s="142"/>
      <c r="D564" s="142"/>
      <c r="E564" s="142"/>
      <c r="F564" s="142"/>
    </row>
    <row r="565" ht="15.75" customHeight="1">
      <c r="A565" s="142"/>
      <c r="B565" s="142"/>
      <c r="C565" s="142"/>
      <c r="D565" s="142"/>
      <c r="E565" s="142"/>
      <c r="F565" s="142"/>
    </row>
    <row r="566" ht="15.75" customHeight="1">
      <c r="A566" s="142"/>
      <c r="B566" s="142"/>
      <c r="C566" s="142"/>
      <c r="D566" s="142"/>
      <c r="E566" s="142"/>
      <c r="F566" s="142"/>
    </row>
    <row r="567" ht="15.75" customHeight="1">
      <c r="A567" s="142"/>
      <c r="B567" s="142"/>
      <c r="C567" s="142"/>
      <c r="D567" s="142"/>
      <c r="E567" s="142"/>
      <c r="F567" s="142"/>
    </row>
    <row r="568" ht="15.75" customHeight="1">
      <c r="A568" s="142"/>
      <c r="B568" s="142"/>
      <c r="C568" s="142"/>
      <c r="D568" s="142"/>
      <c r="E568" s="142"/>
      <c r="F568" s="142"/>
    </row>
    <row r="569" ht="15.75" customHeight="1">
      <c r="A569" s="142"/>
      <c r="B569" s="142"/>
      <c r="C569" s="142"/>
      <c r="D569" s="142"/>
      <c r="E569" s="142"/>
      <c r="F569" s="142"/>
    </row>
    <row r="570" ht="15.75" customHeight="1">
      <c r="A570" s="142"/>
      <c r="B570" s="142"/>
      <c r="C570" s="142"/>
      <c r="D570" s="142"/>
      <c r="E570" s="142"/>
      <c r="F570" s="142"/>
    </row>
    <row r="571" ht="15.75" customHeight="1">
      <c r="A571" s="142"/>
      <c r="B571" s="142"/>
      <c r="C571" s="142"/>
      <c r="D571" s="142"/>
      <c r="E571" s="142"/>
      <c r="F571" s="142"/>
    </row>
    <row r="572" ht="15.75" customHeight="1">
      <c r="A572" s="142"/>
      <c r="B572" s="142"/>
      <c r="C572" s="142"/>
      <c r="D572" s="142"/>
      <c r="E572" s="142"/>
      <c r="F572" s="142"/>
    </row>
    <row r="573" ht="15.75" customHeight="1">
      <c r="A573" s="142"/>
      <c r="B573" s="142"/>
      <c r="C573" s="142"/>
      <c r="D573" s="142"/>
      <c r="E573" s="142"/>
      <c r="F573" s="142"/>
    </row>
    <row r="574" ht="15.75" customHeight="1">
      <c r="A574" s="142"/>
      <c r="B574" s="142"/>
      <c r="C574" s="142"/>
      <c r="D574" s="142"/>
      <c r="E574" s="142"/>
      <c r="F574" s="142"/>
    </row>
    <row r="575" ht="15.75" customHeight="1">
      <c r="A575" s="142"/>
      <c r="B575" s="142"/>
      <c r="C575" s="142"/>
      <c r="D575" s="142"/>
      <c r="E575" s="142"/>
      <c r="F575" s="142"/>
    </row>
    <row r="576" ht="15.75" customHeight="1">
      <c r="A576" s="142"/>
      <c r="B576" s="142"/>
      <c r="C576" s="142"/>
      <c r="D576" s="142"/>
      <c r="E576" s="142"/>
      <c r="F576" s="142"/>
    </row>
    <row r="577" ht="15.75" customHeight="1">
      <c r="A577" s="142"/>
      <c r="B577" s="142"/>
      <c r="C577" s="142"/>
      <c r="D577" s="142"/>
      <c r="E577" s="142"/>
      <c r="F577" s="142"/>
    </row>
    <row r="578" ht="15.75" customHeight="1">
      <c r="A578" s="142"/>
      <c r="B578" s="142"/>
      <c r="C578" s="142"/>
      <c r="D578" s="142"/>
      <c r="E578" s="142"/>
      <c r="F578" s="142"/>
    </row>
    <row r="579" ht="15.75" customHeight="1">
      <c r="A579" s="142"/>
      <c r="B579" s="142"/>
      <c r="C579" s="142"/>
      <c r="D579" s="142"/>
      <c r="E579" s="142"/>
      <c r="F579" s="142"/>
    </row>
    <row r="580" ht="15.75" customHeight="1">
      <c r="A580" s="142"/>
      <c r="B580" s="142"/>
      <c r="C580" s="142"/>
      <c r="D580" s="142"/>
      <c r="E580" s="142"/>
      <c r="F580" s="142"/>
    </row>
    <row r="581" ht="15.75" customHeight="1">
      <c r="A581" s="142"/>
      <c r="B581" s="142"/>
      <c r="C581" s="142"/>
      <c r="D581" s="142"/>
      <c r="E581" s="142"/>
      <c r="F581" s="142"/>
    </row>
    <row r="582" ht="15.75" customHeight="1">
      <c r="A582" s="142"/>
      <c r="B582" s="142"/>
      <c r="C582" s="142"/>
      <c r="D582" s="142"/>
      <c r="E582" s="142"/>
      <c r="F582" s="142"/>
    </row>
    <row r="583" ht="15.75" customHeight="1">
      <c r="A583" s="142"/>
      <c r="B583" s="142"/>
      <c r="C583" s="142"/>
      <c r="D583" s="142"/>
      <c r="E583" s="142"/>
      <c r="F583" s="142"/>
    </row>
    <row r="584" ht="15.75" customHeight="1">
      <c r="A584" s="142"/>
      <c r="B584" s="142"/>
      <c r="C584" s="142"/>
      <c r="D584" s="142"/>
      <c r="E584" s="142"/>
      <c r="F584" s="142"/>
    </row>
    <row r="585" ht="15.75" customHeight="1">
      <c r="A585" s="142"/>
      <c r="B585" s="142"/>
      <c r="C585" s="142"/>
      <c r="D585" s="142"/>
      <c r="E585" s="142"/>
      <c r="F585" s="142"/>
    </row>
    <row r="586" ht="15.75" customHeight="1">
      <c r="A586" s="142"/>
      <c r="B586" s="142"/>
      <c r="C586" s="142"/>
      <c r="D586" s="142"/>
      <c r="E586" s="142"/>
      <c r="F586" s="142"/>
    </row>
    <row r="587" ht="15.75" customHeight="1">
      <c r="A587" s="142"/>
      <c r="B587" s="142"/>
      <c r="C587" s="142"/>
      <c r="D587" s="142"/>
      <c r="E587" s="142"/>
      <c r="F587" s="142"/>
    </row>
    <row r="588" ht="15.75" customHeight="1">
      <c r="A588" s="142"/>
      <c r="B588" s="142"/>
      <c r="C588" s="142"/>
      <c r="D588" s="142"/>
      <c r="E588" s="142"/>
      <c r="F588" s="142"/>
    </row>
    <row r="589" ht="15.75" customHeight="1">
      <c r="A589" s="142"/>
      <c r="B589" s="142"/>
      <c r="C589" s="142"/>
      <c r="D589" s="142"/>
      <c r="E589" s="142"/>
      <c r="F589" s="142"/>
    </row>
    <row r="590" ht="15.75" customHeight="1">
      <c r="A590" s="142"/>
      <c r="B590" s="142"/>
      <c r="C590" s="142"/>
      <c r="D590" s="142"/>
      <c r="E590" s="142"/>
      <c r="F590" s="142"/>
    </row>
    <row r="591" ht="15.75" customHeight="1">
      <c r="A591" s="142"/>
      <c r="B591" s="142"/>
      <c r="C591" s="142"/>
      <c r="D591" s="142"/>
      <c r="E591" s="142"/>
      <c r="F591" s="142"/>
    </row>
    <row r="592" ht="15.75" customHeight="1">
      <c r="A592" s="142"/>
      <c r="B592" s="142"/>
      <c r="C592" s="142"/>
      <c r="D592" s="142"/>
      <c r="E592" s="142"/>
      <c r="F592" s="142"/>
    </row>
    <row r="593" ht="15.75" customHeight="1">
      <c r="A593" s="142"/>
      <c r="B593" s="142"/>
      <c r="C593" s="142"/>
      <c r="D593" s="142"/>
      <c r="E593" s="142"/>
      <c r="F593" s="142"/>
    </row>
    <row r="594" ht="15.75" customHeight="1">
      <c r="A594" s="142"/>
      <c r="B594" s="142"/>
      <c r="C594" s="142"/>
      <c r="D594" s="142"/>
      <c r="E594" s="142"/>
      <c r="F594" s="142"/>
    </row>
    <row r="595" ht="15.75" customHeight="1">
      <c r="A595" s="142"/>
      <c r="B595" s="142"/>
      <c r="C595" s="142"/>
      <c r="D595" s="142"/>
      <c r="E595" s="142"/>
      <c r="F595" s="142"/>
    </row>
    <row r="596" ht="15.75" customHeight="1">
      <c r="A596" s="142"/>
      <c r="B596" s="142"/>
      <c r="C596" s="142"/>
      <c r="D596" s="142"/>
      <c r="E596" s="142"/>
      <c r="F596" s="142"/>
    </row>
    <row r="597" ht="15.75" customHeight="1">
      <c r="A597" s="142"/>
      <c r="B597" s="142"/>
      <c r="C597" s="142"/>
      <c r="D597" s="142"/>
      <c r="E597" s="142"/>
      <c r="F597" s="142"/>
    </row>
    <row r="598" ht="15.75" customHeight="1">
      <c r="A598" s="142"/>
      <c r="B598" s="142"/>
      <c r="C598" s="142"/>
      <c r="D598" s="142"/>
      <c r="E598" s="142"/>
      <c r="F598" s="142"/>
    </row>
    <row r="599" ht="15.75" customHeight="1">
      <c r="A599" s="142"/>
      <c r="B599" s="142"/>
      <c r="C599" s="142"/>
      <c r="D599" s="142"/>
      <c r="E599" s="142"/>
      <c r="F599" s="142"/>
    </row>
    <row r="600" ht="15.75" customHeight="1">
      <c r="A600" s="142"/>
      <c r="B600" s="142"/>
      <c r="C600" s="142"/>
      <c r="D600" s="142"/>
      <c r="E600" s="142"/>
      <c r="F600" s="142"/>
    </row>
    <row r="601" ht="15.75" customHeight="1">
      <c r="A601" s="142"/>
      <c r="B601" s="142"/>
      <c r="C601" s="142"/>
      <c r="D601" s="142"/>
      <c r="E601" s="142"/>
      <c r="F601" s="142"/>
    </row>
    <row r="602" ht="15.75" customHeight="1">
      <c r="A602" s="142"/>
      <c r="B602" s="142"/>
      <c r="C602" s="142"/>
      <c r="D602" s="142"/>
      <c r="E602" s="142"/>
      <c r="F602" s="142"/>
    </row>
    <row r="603" ht="15.75" customHeight="1">
      <c r="A603" s="142"/>
      <c r="B603" s="142"/>
      <c r="C603" s="142"/>
      <c r="D603" s="142"/>
      <c r="E603" s="142"/>
      <c r="F603" s="142"/>
    </row>
    <row r="604" ht="15.75" customHeight="1">
      <c r="A604" s="142"/>
      <c r="B604" s="142"/>
      <c r="C604" s="142"/>
      <c r="D604" s="142"/>
      <c r="E604" s="142"/>
      <c r="F604" s="142"/>
    </row>
    <row r="605" ht="15.75" customHeight="1">
      <c r="A605" s="142"/>
      <c r="B605" s="142"/>
      <c r="C605" s="142"/>
      <c r="D605" s="142"/>
      <c r="E605" s="142"/>
      <c r="F605" s="142"/>
    </row>
    <row r="606" ht="15.75" customHeight="1">
      <c r="A606" s="142"/>
      <c r="B606" s="142"/>
      <c r="C606" s="142"/>
      <c r="D606" s="142"/>
      <c r="E606" s="142"/>
      <c r="F606" s="142"/>
    </row>
    <row r="607" ht="15.75" customHeight="1">
      <c r="A607" s="142"/>
      <c r="B607" s="142"/>
      <c r="C607" s="142"/>
      <c r="D607" s="142"/>
      <c r="E607" s="142"/>
      <c r="F607" s="142"/>
    </row>
    <row r="608" ht="15.75" customHeight="1">
      <c r="A608" s="142"/>
      <c r="B608" s="142"/>
      <c r="C608" s="142"/>
      <c r="D608" s="142"/>
      <c r="E608" s="142"/>
      <c r="F608" s="142"/>
    </row>
    <row r="609" ht="15.75" customHeight="1">
      <c r="A609" s="142"/>
      <c r="B609" s="142"/>
      <c r="C609" s="142"/>
      <c r="D609" s="142"/>
      <c r="E609" s="142"/>
      <c r="F609" s="142"/>
    </row>
    <row r="610" ht="15.75" customHeight="1">
      <c r="A610" s="142"/>
      <c r="B610" s="142"/>
      <c r="C610" s="142"/>
      <c r="D610" s="142"/>
      <c r="E610" s="142"/>
      <c r="F610" s="142"/>
    </row>
    <row r="611" ht="15.75" customHeight="1">
      <c r="A611" s="142"/>
      <c r="B611" s="142"/>
      <c r="C611" s="142"/>
      <c r="D611" s="142"/>
      <c r="E611" s="142"/>
      <c r="F611" s="142"/>
    </row>
    <row r="612" ht="15.75" customHeight="1">
      <c r="A612" s="142"/>
      <c r="B612" s="142"/>
      <c r="C612" s="142"/>
      <c r="D612" s="142"/>
      <c r="E612" s="142"/>
      <c r="F612" s="142"/>
    </row>
    <row r="613" ht="15.75" customHeight="1">
      <c r="A613" s="142"/>
      <c r="B613" s="142"/>
      <c r="C613" s="142"/>
      <c r="D613" s="142"/>
      <c r="E613" s="142"/>
      <c r="F613" s="142"/>
    </row>
    <row r="614" ht="15.75" customHeight="1">
      <c r="A614" s="142"/>
      <c r="B614" s="142"/>
      <c r="C614" s="142"/>
      <c r="D614" s="142"/>
      <c r="E614" s="142"/>
      <c r="F614" s="142"/>
    </row>
    <row r="615" ht="15.75" customHeight="1">
      <c r="A615" s="142"/>
      <c r="B615" s="142"/>
      <c r="C615" s="142"/>
      <c r="D615" s="142"/>
      <c r="E615" s="142"/>
      <c r="F615" s="142"/>
    </row>
    <row r="616" ht="15.75" customHeight="1">
      <c r="A616" s="142"/>
      <c r="B616" s="142"/>
      <c r="C616" s="142"/>
      <c r="D616" s="142"/>
      <c r="E616" s="142"/>
      <c r="F616" s="142"/>
    </row>
    <row r="617" ht="15.75" customHeight="1">
      <c r="A617" s="142"/>
      <c r="B617" s="142"/>
      <c r="C617" s="142"/>
      <c r="D617" s="142"/>
      <c r="E617" s="142"/>
      <c r="F617" s="142"/>
    </row>
    <row r="618" ht="15.75" customHeight="1">
      <c r="A618" s="142"/>
      <c r="B618" s="142"/>
      <c r="C618" s="142"/>
      <c r="D618" s="142"/>
      <c r="E618" s="142"/>
      <c r="F618" s="142"/>
    </row>
    <row r="619" ht="15.75" customHeight="1">
      <c r="A619" s="142"/>
      <c r="B619" s="142"/>
      <c r="C619" s="142"/>
      <c r="D619" s="142"/>
      <c r="E619" s="142"/>
      <c r="F619" s="142"/>
    </row>
    <row r="620" ht="15.75" customHeight="1">
      <c r="A620" s="142"/>
      <c r="B620" s="142"/>
      <c r="C620" s="142"/>
      <c r="D620" s="142"/>
      <c r="E620" s="142"/>
      <c r="F620" s="142"/>
    </row>
    <row r="621" ht="15.75" customHeight="1">
      <c r="A621" s="142"/>
      <c r="B621" s="142"/>
      <c r="C621" s="142"/>
      <c r="D621" s="142"/>
      <c r="E621" s="142"/>
      <c r="F621" s="142"/>
    </row>
    <row r="622" ht="15.75" customHeight="1">
      <c r="A622" s="142"/>
      <c r="B622" s="142"/>
      <c r="C622" s="142"/>
      <c r="D622" s="142"/>
      <c r="E622" s="142"/>
      <c r="F622" s="142"/>
    </row>
    <row r="623" ht="15.75" customHeight="1">
      <c r="A623" s="142"/>
      <c r="B623" s="142"/>
      <c r="C623" s="142"/>
      <c r="D623" s="142"/>
      <c r="E623" s="142"/>
      <c r="F623" s="142"/>
    </row>
    <row r="624" ht="15.75" customHeight="1">
      <c r="A624" s="142"/>
      <c r="B624" s="142"/>
      <c r="C624" s="142"/>
      <c r="D624" s="142"/>
      <c r="E624" s="142"/>
      <c r="F624" s="142"/>
    </row>
    <row r="625" ht="15.75" customHeight="1">
      <c r="A625" s="142"/>
      <c r="B625" s="142"/>
      <c r="C625" s="142"/>
      <c r="D625" s="142"/>
      <c r="E625" s="142"/>
      <c r="F625" s="142"/>
    </row>
    <row r="626" ht="15.75" customHeight="1">
      <c r="A626" s="142"/>
      <c r="B626" s="142"/>
      <c r="C626" s="142"/>
      <c r="D626" s="142"/>
      <c r="E626" s="142"/>
      <c r="F626" s="142"/>
    </row>
    <row r="627" ht="15.75" customHeight="1">
      <c r="A627" s="142"/>
      <c r="B627" s="142"/>
      <c r="C627" s="142"/>
      <c r="D627" s="142"/>
      <c r="E627" s="142"/>
      <c r="F627" s="142"/>
    </row>
    <row r="628" ht="15.75" customHeight="1">
      <c r="A628" s="142"/>
      <c r="B628" s="142"/>
      <c r="C628" s="142"/>
      <c r="D628" s="142"/>
      <c r="E628" s="142"/>
      <c r="F628" s="142"/>
    </row>
    <row r="629" ht="15.75" customHeight="1">
      <c r="A629" s="142"/>
      <c r="B629" s="142"/>
      <c r="C629" s="142"/>
      <c r="D629" s="142"/>
      <c r="E629" s="142"/>
      <c r="F629" s="142"/>
    </row>
    <row r="630" ht="15.75" customHeight="1">
      <c r="A630" s="142"/>
      <c r="B630" s="142"/>
      <c r="C630" s="142"/>
      <c r="D630" s="142"/>
      <c r="E630" s="142"/>
      <c r="F630" s="142"/>
    </row>
    <row r="631" ht="15.75" customHeight="1">
      <c r="A631" s="142"/>
      <c r="B631" s="142"/>
      <c r="C631" s="142"/>
      <c r="D631" s="142"/>
      <c r="E631" s="142"/>
      <c r="F631" s="142"/>
    </row>
    <row r="632" ht="15.75" customHeight="1">
      <c r="A632" s="142"/>
      <c r="B632" s="142"/>
      <c r="C632" s="142"/>
      <c r="D632" s="142"/>
      <c r="E632" s="142"/>
      <c r="F632" s="142"/>
    </row>
    <row r="633" ht="15.75" customHeight="1">
      <c r="A633" s="142"/>
      <c r="B633" s="142"/>
      <c r="C633" s="142"/>
      <c r="D633" s="142"/>
      <c r="E633" s="142"/>
      <c r="F633" s="142"/>
    </row>
    <row r="634" ht="15.75" customHeight="1">
      <c r="A634" s="142"/>
      <c r="B634" s="142"/>
      <c r="C634" s="142"/>
      <c r="D634" s="142"/>
      <c r="E634" s="142"/>
      <c r="F634" s="142"/>
    </row>
    <row r="635" ht="15.75" customHeight="1">
      <c r="A635" s="142"/>
      <c r="B635" s="142"/>
      <c r="C635" s="142"/>
      <c r="D635" s="142"/>
      <c r="E635" s="142"/>
      <c r="F635" s="142"/>
    </row>
    <row r="636" ht="15.75" customHeight="1">
      <c r="A636" s="142"/>
      <c r="B636" s="142"/>
      <c r="C636" s="142"/>
      <c r="D636" s="142"/>
      <c r="E636" s="142"/>
      <c r="F636" s="142"/>
    </row>
    <row r="637" ht="15.75" customHeight="1">
      <c r="A637" s="142"/>
      <c r="B637" s="142"/>
      <c r="C637" s="142"/>
      <c r="D637" s="142"/>
      <c r="E637" s="142"/>
      <c r="F637" s="142"/>
    </row>
    <row r="638" ht="15.75" customHeight="1">
      <c r="A638" s="142"/>
      <c r="B638" s="142"/>
      <c r="C638" s="142"/>
      <c r="D638" s="142"/>
      <c r="E638" s="142"/>
      <c r="F638" s="142"/>
    </row>
    <row r="639" ht="15.75" customHeight="1">
      <c r="A639" s="142"/>
      <c r="B639" s="142"/>
      <c r="C639" s="142"/>
      <c r="D639" s="142"/>
      <c r="E639" s="142"/>
      <c r="F639" s="142"/>
    </row>
    <row r="640" ht="15.75" customHeight="1">
      <c r="A640" s="142"/>
      <c r="B640" s="142"/>
      <c r="C640" s="142"/>
      <c r="D640" s="142"/>
      <c r="E640" s="142"/>
      <c r="F640" s="142"/>
    </row>
    <row r="641" ht="15.75" customHeight="1">
      <c r="A641" s="142"/>
      <c r="B641" s="142"/>
      <c r="C641" s="142"/>
      <c r="D641" s="142"/>
      <c r="E641" s="142"/>
      <c r="F641" s="142"/>
    </row>
    <row r="642" ht="15.75" customHeight="1">
      <c r="A642" s="142"/>
      <c r="B642" s="142"/>
      <c r="C642" s="142"/>
      <c r="D642" s="142"/>
      <c r="E642" s="142"/>
      <c r="F642" s="142"/>
    </row>
    <row r="643" ht="15.75" customHeight="1">
      <c r="A643" s="142"/>
      <c r="B643" s="142"/>
      <c r="C643" s="142"/>
      <c r="D643" s="142"/>
      <c r="E643" s="142"/>
      <c r="F643" s="142"/>
    </row>
    <row r="644" ht="15.75" customHeight="1">
      <c r="A644" s="142"/>
      <c r="B644" s="142"/>
      <c r="C644" s="142"/>
      <c r="D644" s="142"/>
      <c r="E644" s="142"/>
      <c r="F644" s="142"/>
    </row>
    <row r="645" ht="15.75" customHeight="1">
      <c r="A645" s="142"/>
      <c r="B645" s="142"/>
      <c r="C645" s="142"/>
      <c r="D645" s="142"/>
      <c r="E645" s="142"/>
      <c r="F645" s="142"/>
    </row>
    <row r="646" ht="15.75" customHeight="1">
      <c r="A646" s="142"/>
      <c r="B646" s="142"/>
      <c r="C646" s="142"/>
      <c r="D646" s="142"/>
      <c r="E646" s="142"/>
      <c r="F646" s="142"/>
    </row>
    <row r="647" ht="15.75" customHeight="1">
      <c r="A647" s="142"/>
      <c r="B647" s="142"/>
      <c r="C647" s="142"/>
      <c r="D647" s="142"/>
      <c r="E647" s="142"/>
      <c r="F647" s="142"/>
    </row>
    <row r="648" ht="15.75" customHeight="1">
      <c r="A648" s="142"/>
      <c r="B648" s="142"/>
      <c r="C648" s="142"/>
      <c r="D648" s="142"/>
      <c r="E648" s="142"/>
      <c r="F648" s="142"/>
    </row>
    <row r="649" ht="15.75" customHeight="1">
      <c r="A649" s="142"/>
      <c r="B649" s="142"/>
      <c r="C649" s="142"/>
      <c r="D649" s="142"/>
      <c r="E649" s="142"/>
      <c r="F649" s="142"/>
    </row>
    <row r="650" ht="15.75" customHeight="1">
      <c r="A650" s="142"/>
      <c r="B650" s="142"/>
      <c r="C650" s="142"/>
      <c r="D650" s="142"/>
      <c r="E650" s="142"/>
      <c r="F650" s="142"/>
    </row>
    <row r="651" ht="15.75" customHeight="1">
      <c r="A651" s="142"/>
      <c r="B651" s="142"/>
      <c r="C651" s="142"/>
      <c r="D651" s="142"/>
      <c r="E651" s="142"/>
      <c r="F651" s="142"/>
    </row>
    <row r="652" ht="15.75" customHeight="1">
      <c r="A652" s="142"/>
      <c r="B652" s="142"/>
      <c r="C652" s="142"/>
      <c r="D652" s="142"/>
      <c r="E652" s="142"/>
      <c r="F652" s="142"/>
    </row>
    <row r="653" ht="15.75" customHeight="1">
      <c r="A653" s="142"/>
      <c r="B653" s="142"/>
      <c r="C653" s="142"/>
      <c r="D653" s="142"/>
      <c r="E653" s="142"/>
      <c r="F653" s="142"/>
    </row>
    <row r="654" ht="15.75" customHeight="1">
      <c r="A654" s="142"/>
      <c r="B654" s="142"/>
      <c r="C654" s="142"/>
      <c r="D654" s="142"/>
      <c r="E654" s="142"/>
      <c r="F654" s="142"/>
    </row>
    <row r="655" ht="15.75" customHeight="1">
      <c r="A655" s="142"/>
      <c r="B655" s="142"/>
      <c r="C655" s="142"/>
      <c r="D655" s="142"/>
      <c r="E655" s="142"/>
      <c r="F655" s="142"/>
    </row>
    <row r="656" ht="15.75" customHeight="1">
      <c r="A656" s="142"/>
      <c r="B656" s="142"/>
      <c r="C656" s="142"/>
      <c r="D656" s="142"/>
      <c r="E656" s="142"/>
      <c r="F656" s="142"/>
    </row>
    <row r="657" ht="15.75" customHeight="1">
      <c r="A657" s="142"/>
      <c r="B657" s="142"/>
      <c r="C657" s="142"/>
      <c r="D657" s="142"/>
      <c r="E657" s="142"/>
      <c r="F657" s="142"/>
    </row>
    <row r="658" ht="15.75" customHeight="1">
      <c r="A658" s="142"/>
      <c r="B658" s="142"/>
      <c r="C658" s="142"/>
      <c r="D658" s="142"/>
      <c r="E658" s="142"/>
      <c r="F658" s="142"/>
    </row>
    <row r="659" ht="15.75" customHeight="1">
      <c r="A659" s="142"/>
      <c r="B659" s="142"/>
      <c r="C659" s="142"/>
      <c r="D659" s="142"/>
      <c r="E659" s="142"/>
      <c r="F659" s="142"/>
    </row>
    <row r="660" ht="15.75" customHeight="1">
      <c r="A660" s="142"/>
      <c r="B660" s="142"/>
      <c r="C660" s="142"/>
      <c r="D660" s="142"/>
      <c r="E660" s="142"/>
      <c r="F660" s="142"/>
    </row>
    <row r="661" ht="15.75" customHeight="1">
      <c r="A661" s="142"/>
      <c r="B661" s="142"/>
      <c r="C661" s="142"/>
      <c r="D661" s="142"/>
      <c r="E661" s="142"/>
      <c r="F661" s="142"/>
    </row>
    <row r="662" ht="15.75" customHeight="1">
      <c r="A662" s="142"/>
      <c r="B662" s="142"/>
      <c r="C662" s="142"/>
      <c r="D662" s="142"/>
      <c r="E662" s="142"/>
      <c r="F662" s="142"/>
    </row>
    <row r="663" ht="15.75" customHeight="1">
      <c r="A663" s="142"/>
      <c r="B663" s="142"/>
      <c r="C663" s="142"/>
      <c r="D663" s="142"/>
      <c r="E663" s="142"/>
      <c r="F663" s="142"/>
    </row>
    <row r="664" ht="15.75" customHeight="1">
      <c r="A664" s="142"/>
      <c r="B664" s="142"/>
      <c r="C664" s="142"/>
      <c r="D664" s="142"/>
      <c r="E664" s="142"/>
      <c r="F664" s="142"/>
    </row>
    <row r="665" ht="15.75" customHeight="1">
      <c r="A665" s="142"/>
      <c r="B665" s="142"/>
      <c r="C665" s="142"/>
      <c r="D665" s="142"/>
      <c r="E665" s="142"/>
      <c r="F665" s="142"/>
    </row>
    <row r="666" ht="15.75" customHeight="1">
      <c r="A666" s="142"/>
      <c r="B666" s="142"/>
      <c r="C666" s="142"/>
      <c r="D666" s="142"/>
      <c r="E666" s="142"/>
      <c r="F666" s="142"/>
    </row>
    <row r="667" ht="15.75" customHeight="1">
      <c r="A667" s="142"/>
      <c r="B667" s="142"/>
      <c r="C667" s="142"/>
      <c r="D667" s="142"/>
      <c r="E667" s="142"/>
      <c r="F667" s="142"/>
    </row>
    <row r="668" ht="15.75" customHeight="1">
      <c r="A668" s="142"/>
      <c r="B668" s="142"/>
      <c r="C668" s="142"/>
      <c r="D668" s="142"/>
      <c r="E668" s="142"/>
      <c r="F668" s="142"/>
    </row>
    <row r="669" ht="15.75" customHeight="1">
      <c r="A669" s="142"/>
      <c r="B669" s="142"/>
      <c r="C669" s="142"/>
      <c r="D669" s="142"/>
      <c r="E669" s="142"/>
      <c r="F669" s="142"/>
    </row>
    <row r="670" ht="15.75" customHeight="1">
      <c r="A670" s="142"/>
      <c r="B670" s="142"/>
      <c r="C670" s="142"/>
      <c r="D670" s="142"/>
      <c r="E670" s="142"/>
      <c r="F670" s="142"/>
    </row>
    <row r="671" ht="15.75" customHeight="1">
      <c r="A671" s="142"/>
      <c r="B671" s="142"/>
      <c r="C671" s="142"/>
      <c r="D671" s="142"/>
      <c r="E671" s="142"/>
      <c r="F671" s="142"/>
    </row>
    <row r="672" ht="15.75" customHeight="1">
      <c r="A672" s="142"/>
      <c r="B672" s="142"/>
      <c r="C672" s="142"/>
      <c r="D672" s="142"/>
      <c r="E672" s="142"/>
      <c r="F672" s="142"/>
    </row>
    <row r="673" ht="15.75" customHeight="1">
      <c r="A673" s="142"/>
      <c r="B673" s="142"/>
      <c r="C673" s="142"/>
      <c r="D673" s="142"/>
      <c r="E673" s="142"/>
      <c r="F673" s="142"/>
    </row>
    <row r="674" ht="15.75" customHeight="1">
      <c r="A674" s="142"/>
      <c r="B674" s="142"/>
      <c r="C674" s="142"/>
      <c r="D674" s="142"/>
      <c r="E674" s="142"/>
      <c r="F674" s="142"/>
    </row>
    <row r="675" ht="15.75" customHeight="1">
      <c r="A675" s="142"/>
      <c r="B675" s="142"/>
      <c r="C675" s="142"/>
      <c r="D675" s="142"/>
      <c r="E675" s="142"/>
      <c r="F675" s="142"/>
    </row>
    <row r="676" ht="15.75" customHeight="1">
      <c r="A676" s="142"/>
      <c r="B676" s="142"/>
      <c r="C676" s="142"/>
      <c r="D676" s="142"/>
      <c r="E676" s="142"/>
      <c r="F676" s="142"/>
    </row>
    <row r="677" ht="15.75" customHeight="1">
      <c r="A677" s="142"/>
      <c r="B677" s="142"/>
      <c r="C677" s="142"/>
      <c r="D677" s="142"/>
      <c r="E677" s="142"/>
      <c r="F677" s="142"/>
    </row>
    <row r="678" ht="15.75" customHeight="1">
      <c r="A678" s="142"/>
      <c r="B678" s="142"/>
      <c r="C678" s="142"/>
      <c r="D678" s="142"/>
      <c r="E678" s="142"/>
      <c r="F678" s="142"/>
    </row>
    <row r="679" ht="15.75" customHeight="1">
      <c r="A679" s="142"/>
      <c r="B679" s="142"/>
      <c r="C679" s="142"/>
      <c r="D679" s="142"/>
      <c r="E679" s="142"/>
      <c r="F679" s="142"/>
    </row>
    <row r="680" ht="15.75" customHeight="1">
      <c r="A680" s="142"/>
      <c r="B680" s="142"/>
      <c r="C680" s="142"/>
      <c r="D680" s="142"/>
      <c r="E680" s="142"/>
      <c r="F680" s="142"/>
    </row>
    <row r="681" ht="15.75" customHeight="1">
      <c r="A681" s="142"/>
      <c r="B681" s="142"/>
      <c r="C681" s="142"/>
      <c r="D681" s="142"/>
      <c r="E681" s="142"/>
      <c r="F681" s="142"/>
    </row>
    <row r="682" ht="15.75" customHeight="1">
      <c r="A682" s="142"/>
      <c r="B682" s="142"/>
      <c r="C682" s="142"/>
      <c r="D682" s="142"/>
      <c r="E682" s="142"/>
      <c r="F682" s="142"/>
    </row>
    <row r="683" ht="15.75" customHeight="1">
      <c r="A683" s="142"/>
      <c r="B683" s="142"/>
      <c r="C683" s="142"/>
      <c r="D683" s="142"/>
      <c r="E683" s="142"/>
      <c r="F683" s="142"/>
    </row>
    <row r="684" ht="15.75" customHeight="1">
      <c r="A684" s="142"/>
      <c r="B684" s="142"/>
      <c r="C684" s="142"/>
      <c r="D684" s="142"/>
      <c r="E684" s="142"/>
      <c r="F684" s="142"/>
    </row>
    <row r="685" ht="15.75" customHeight="1">
      <c r="A685" s="142"/>
      <c r="B685" s="142"/>
      <c r="C685" s="142"/>
      <c r="D685" s="142"/>
      <c r="E685" s="142"/>
      <c r="F685" s="142"/>
    </row>
    <row r="686" ht="15.75" customHeight="1">
      <c r="A686" s="142"/>
      <c r="B686" s="142"/>
      <c r="C686" s="142"/>
      <c r="D686" s="142"/>
      <c r="E686" s="142"/>
      <c r="F686" s="142"/>
    </row>
    <row r="687" ht="15.75" customHeight="1">
      <c r="A687" s="142"/>
      <c r="B687" s="142"/>
      <c r="C687" s="142"/>
      <c r="D687" s="142"/>
      <c r="E687" s="142"/>
      <c r="F687" s="142"/>
    </row>
    <row r="688" ht="15.75" customHeight="1">
      <c r="A688" s="142"/>
      <c r="B688" s="142"/>
      <c r="C688" s="142"/>
      <c r="D688" s="142"/>
      <c r="E688" s="142"/>
      <c r="F688" s="142"/>
    </row>
    <row r="689" ht="15.75" customHeight="1">
      <c r="A689" s="142"/>
      <c r="B689" s="142"/>
      <c r="C689" s="142"/>
      <c r="D689" s="142"/>
      <c r="E689" s="142"/>
      <c r="F689" s="142"/>
    </row>
    <row r="690" ht="15.75" customHeight="1">
      <c r="A690" s="142"/>
      <c r="B690" s="142"/>
      <c r="C690" s="142"/>
      <c r="D690" s="142"/>
      <c r="E690" s="142"/>
      <c r="F690" s="142"/>
    </row>
    <row r="691" ht="15.75" customHeight="1">
      <c r="A691" s="142"/>
      <c r="B691" s="142"/>
      <c r="C691" s="142"/>
      <c r="D691" s="142"/>
      <c r="E691" s="142"/>
      <c r="F691" s="142"/>
    </row>
    <row r="692" ht="15.75" customHeight="1">
      <c r="A692" s="142"/>
      <c r="B692" s="142"/>
      <c r="C692" s="142"/>
      <c r="D692" s="142"/>
      <c r="E692" s="142"/>
      <c r="F692" s="142"/>
    </row>
    <row r="693" ht="15.75" customHeight="1">
      <c r="A693" s="142"/>
      <c r="B693" s="142"/>
      <c r="C693" s="142"/>
      <c r="D693" s="142"/>
      <c r="E693" s="142"/>
      <c r="F693" s="142"/>
    </row>
    <row r="694" ht="15.75" customHeight="1">
      <c r="A694" s="142"/>
      <c r="B694" s="142"/>
      <c r="C694" s="142"/>
      <c r="D694" s="142"/>
      <c r="E694" s="142"/>
      <c r="F694" s="142"/>
    </row>
    <row r="695" ht="15.75" customHeight="1">
      <c r="A695" s="142"/>
      <c r="B695" s="142"/>
      <c r="C695" s="142"/>
      <c r="D695" s="142"/>
      <c r="E695" s="142"/>
      <c r="F695" s="142"/>
    </row>
    <row r="696" ht="15.75" customHeight="1">
      <c r="A696" s="142"/>
      <c r="B696" s="142"/>
      <c r="C696" s="142"/>
      <c r="D696" s="142"/>
      <c r="E696" s="142"/>
      <c r="F696" s="142"/>
    </row>
    <row r="697" ht="15.75" customHeight="1">
      <c r="A697" s="142"/>
      <c r="B697" s="142"/>
      <c r="C697" s="142"/>
      <c r="D697" s="142"/>
      <c r="E697" s="142"/>
      <c r="F697" s="142"/>
    </row>
    <row r="698" ht="15.75" customHeight="1">
      <c r="A698" s="142"/>
      <c r="B698" s="142"/>
      <c r="C698" s="142"/>
      <c r="D698" s="142"/>
      <c r="E698" s="142"/>
      <c r="F698" s="142"/>
    </row>
    <row r="699" ht="15.75" customHeight="1">
      <c r="A699" s="142"/>
      <c r="B699" s="142"/>
      <c r="C699" s="142"/>
      <c r="D699" s="142"/>
      <c r="E699" s="142"/>
      <c r="F699" s="142"/>
    </row>
    <row r="700" ht="15.75" customHeight="1">
      <c r="A700" s="142"/>
      <c r="B700" s="142"/>
      <c r="C700" s="142"/>
      <c r="D700" s="142"/>
      <c r="E700" s="142"/>
      <c r="F700" s="142"/>
    </row>
    <row r="701" ht="15.75" customHeight="1">
      <c r="A701" s="142"/>
      <c r="B701" s="142"/>
      <c r="C701" s="142"/>
      <c r="D701" s="142"/>
      <c r="E701" s="142"/>
      <c r="F701" s="142"/>
    </row>
    <row r="702" ht="15.75" customHeight="1">
      <c r="A702" s="142"/>
      <c r="B702" s="142"/>
      <c r="C702" s="142"/>
      <c r="D702" s="142"/>
      <c r="E702" s="142"/>
      <c r="F702" s="142"/>
    </row>
    <row r="703" ht="15.75" customHeight="1">
      <c r="A703" s="142"/>
      <c r="B703" s="142"/>
      <c r="C703" s="142"/>
      <c r="D703" s="142"/>
      <c r="E703" s="142"/>
      <c r="F703" s="142"/>
    </row>
    <row r="704" ht="15.75" customHeight="1">
      <c r="A704" s="142"/>
      <c r="B704" s="142"/>
      <c r="C704" s="142"/>
      <c r="D704" s="142"/>
      <c r="E704" s="142"/>
      <c r="F704" s="142"/>
    </row>
    <row r="705" ht="15.75" customHeight="1">
      <c r="A705" s="142"/>
      <c r="B705" s="142"/>
      <c r="C705" s="142"/>
      <c r="D705" s="142"/>
      <c r="E705" s="142"/>
      <c r="F705" s="142"/>
    </row>
    <row r="706" ht="15.75" customHeight="1">
      <c r="A706" s="142"/>
      <c r="B706" s="142"/>
      <c r="C706" s="142"/>
      <c r="D706" s="142"/>
      <c r="E706" s="142"/>
      <c r="F706" s="142"/>
    </row>
    <row r="707" ht="15.75" customHeight="1">
      <c r="A707" s="142"/>
      <c r="B707" s="142"/>
      <c r="C707" s="142"/>
      <c r="D707" s="142"/>
      <c r="E707" s="142"/>
      <c r="F707" s="142"/>
    </row>
    <row r="708" ht="15.75" customHeight="1">
      <c r="A708" s="142"/>
      <c r="B708" s="142"/>
      <c r="C708" s="142"/>
      <c r="D708" s="142"/>
      <c r="E708" s="142"/>
      <c r="F708" s="142"/>
    </row>
    <row r="709" ht="15.75" customHeight="1">
      <c r="A709" s="142"/>
      <c r="B709" s="142"/>
      <c r="C709" s="142"/>
      <c r="D709" s="142"/>
      <c r="E709" s="142"/>
      <c r="F709" s="142"/>
    </row>
    <row r="710" ht="15.75" customHeight="1">
      <c r="A710" s="142"/>
      <c r="B710" s="142"/>
      <c r="C710" s="142"/>
      <c r="D710" s="142"/>
      <c r="E710" s="142"/>
      <c r="F710" s="142"/>
    </row>
    <row r="711" ht="15.75" customHeight="1">
      <c r="A711" s="142"/>
      <c r="B711" s="142"/>
      <c r="C711" s="142"/>
      <c r="D711" s="142"/>
      <c r="E711" s="142"/>
      <c r="F711" s="142"/>
    </row>
    <row r="712" ht="15.75" customHeight="1">
      <c r="A712" s="142"/>
      <c r="B712" s="142"/>
      <c r="C712" s="142"/>
      <c r="D712" s="142"/>
      <c r="E712" s="142"/>
      <c r="F712" s="142"/>
    </row>
    <row r="713" ht="15.75" customHeight="1">
      <c r="A713" s="142"/>
      <c r="B713" s="142"/>
      <c r="C713" s="142"/>
      <c r="D713" s="142"/>
      <c r="E713" s="142"/>
      <c r="F713" s="142"/>
    </row>
    <row r="714" ht="15.75" customHeight="1">
      <c r="A714" s="142"/>
      <c r="B714" s="142"/>
      <c r="C714" s="142"/>
      <c r="D714" s="142"/>
      <c r="E714" s="142"/>
      <c r="F714" s="142"/>
    </row>
    <row r="715" ht="15.75" customHeight="1">
      <c r="A715" s="142"/>
      <c r="B715" s="142"/>
      <c r="C715" s="142"/>
      <c r="D715" s="142"/>
      <c r="E715" s="142"/>
      <c r="F715" s="142"/>
    </row>
    <row r="716" ht="15.75" customHeight="1">
      <c r="A716" s="142"/>
      <c r="B716" s="142"/>
      <c r="C716" s="142"/>
      <c r="D716" s="142"/>
      <c r="E716" s="142"/>
      <c r="F716" s="142"/>
    </row>
    <row r="717" ht="15.75" customHeight="1">
      <c r="A717" s="142"/>
      <c r="B717" s="142"/>
      <c r="C717" s="142"/>
      <c r="D717" s="142"/>
      <c r="E717" s="142"/>
      <c r="F717" s="142"/>
    </row>
    <row r="718" ht="15.75" customHeight="1">
      <c r="A718" s="142"/>
      <c r="B718" s="142"/>
      <c r="C718" s="142"/>
      <c r="D718" s="142"/>
      <c r="E718" s="142"/>
      <c r="F718" s="142"/>
    </row>
    <row r="719" ht="15.75" customHeight="1">
      <c r="A719" s="142"/>
      <c r="B719" s="142"/>
      <c r="C719" s="142"/>
      <c r="D719" s="142"/>
      <c r="E719" s="142"/>
      <c r="F719" s="142"/>
    </row>
    <row r="720" ht="15.75" customHeight="1">
      <c r="A720" s="142"/>
      <c r="B720" s="142"/>
      <c r="C720" s="142"/>
      <c r="D720" s="142"/>
      <c r="E720" s="142"/>
      <c r="F720" s="142"/>
    </row>
    <row r="721" ht="15.75" customHeight="1">
      <c r="A721" s="142"/>
      <c r="B721" s="142"/>
      <c r="C721" s="142"/>
      <c r="D721" s="142"/>
      <c r="E721" s="142"/>
      <c r="F721" s="142"/>
    </row>
    <row r="722" ht="15.75" customHeight="1">
      <c r="A722" s="142"/>
      <c r="B722" s="142"/>
      <c r="C722" s="142"/>
      <c r="D722" s="142"/>
      <c r="E722" s="142"/>
      <c r="F722" s="142"/>
    </row>
    <row r="723" ht="15.75" customHeight="1">
      <c r="A723" s="142"/>
      <c r="B723" s="142"/>
      <c r="C723" s="142"/>
      <c r="D723" s="142"/>
      <c r="E723" s="142"/>
      <c r="F723" s="142"/>
    </row>
    <row r="724" ht="15.75" customHeight="1">
      <c r="A724" s="142"/>
      <c r="B724" s="142"/>
      <c r="C724" s="142"/>
      <c r="D724" s="142"/>
      <c r="E724" s="142"/>
      <c r="F724" s="142"/>
    </row>
    <row r="725" ht="15.75" customHeight="1">
      <c r="A725" s="142"/>
      <c r="B725" s="142"/>
      <c r="C725" s="142"/>
      <c r="D725" s="142"/>
      <c r="E725" s="142"/>
      <c r="F725" s="142"/>
    </row>
    <row r="726" ht="15.75" customHeight="1">
      <c r="A726" s="142"/>
      <c r="B726" s="142"/>
      <c r="C726" s="142"/>
      <c r="D726" s="142"/>
      <c r="E726" s="142"/>
      <c r="F726" s="142"/>
    </row>
    <row r="727" ht="15.75" customHeight="1">
      <c r="A727" s="142"/>
      <c r="B727" s="142"/>
      <c r="C727" s="142"/>
      <c r="D727" s="142"/>
      <c r="E727" s="142"/>
      <c r="F727" s="142"/>
    </row>
    <row r="728" ht="15.75" customHeight="1">
      <c r="A728" s="142"/>
      <c r="B728" s="142"/>
      <c r="C728" s="142"/>
      <c r="D728" s="142"/>
      <c r="E728" s="142"/>
      <c r="F728" s="142"/>
    </row>
    <row r="729" ht="15.75" customHeight="1">
      <c r="A729" s="142"/>
      <c r="B729" s="142"/>
      <c r="C729" s="142"/>
      <c r="D729" s="142"/>
      <c r="E729" s="142"/>
      <c r="F729" s="142"/>
    </row>
    <row r="730" ht="15.75" customHeight="1">
      <c r="A730" s="142"/>
      <c r="B730" s="142"/>
      <c r="C730" s="142"/>
      <c r="D730" s="142"/>
      <c r="E730" s="142"/>
      <c r="F730" s="142"/>
    </row>
    <row r="731" ht="15.75" customHeight="1">
      <c r="A731" s="142"/>
      <c r="B731" s="142"/>
      <c r="C731" s="142"/>
      <c r="D731" s="142"/>
      <c r="E731" s="142"/>
      <c r="F731" s="142"/>
    </row>
    <row r="732" ht="15.75" customHeight="1">
      <c r="A732" s="142"/>
      <c r="B732" s="142"/>
      <c r="C732" s="142"/>
      <c r="D732" s="142"/>
      <c r="E732" s="142"/>
      <c r="F732" s="142"/>
    </row>
    <row r="733" ht="15.75" customHeight="1">
      <c r="A733" s="142"/>
      <c r="B733" s="142"/>
      <c r="C733" s="142"/>
      <c r="D733" s="142"/>
      <c r="E733" s="142"/>
      <c r="F733" s="142"/>
    </row>
    <row r="734" ht="15.75" customHeight="1">
      <c r="A734" s="142"/>
      <c r="B734" s="142"/>
      <c r="C734" s="142"/>
      <c r="D734" s="142"/>
      <c r="E734" s="142"/>
      <c r="F734" s="142"/>
    </row>
    <row r="735" ht="15.75" customHeight="1">
      <c r="A735" s="142"/>
      <c r="B735" s="142"/>
      <c r="C735" s="142"/>
      <c r="D735" s="142"/>
      <c r="E735" s="142"/>
      <c r="F735" s="142"/>
    </row>
    <row r="736" ht="15.75" customHeight="1">
      <c r="A736" s="142"/>
      <c r="B736" s="142"/>
      <c r="C736" s="142"/>
      <c r="D736" s="142"/>
      <c r="E736" s="142"/>
      <c r="F736" s="142"/>
    </row>
    <row r="737" ht="15.75" customHeight="1">
      <c r="A737" s="142"/>
      <c r="B737" s="142"/>
      <c r="C737" s="142"/>
      <c r="D737" s="142"/>
      <c r="E737" s="142"/>
      <c r="F737" s="142"/>
    </row>
    <row r="738" ht="15.75" customHeight="1">
      <c r="A738" s="142"/>
      <c r="B738" s="142"/>
      <c r="C738" s="142"/>
      <c r="D738" s="142"/>
      <c r="E738" s="142"/>
      <c r="F738" s="142"/>
    </row>
    <row r="739" ht="15.75" customHeight="1">
      <c r="A739" s="142"/>
      <c r="B739" s="142"/>
      <c r="C739" s="142"/>
      <c r="D739" s="142"/>
      <c r="E739" s="142"/>
      <c r="F739" s="142"/>
    </row>
    <row r="740" ht="15.75" customHeight="1">
      <c r="A740" s="142"/>
      <c r="B740" s="142"/>
      <c r="C740" s="142"/>
      <c r="D740" s="142"/>
      <c r="E740" s="142"/>
      <c r="F740" s="142"/>
    </row>
    <row r="741" ht="15.75" customHeight="1">
      <c r="A741" s="142"/>
      <c r="B741" s="142"/>
      <c r="C741" s="142"/>
      <c r="D741" s="142"/>
      <c r="E741" s="142"/>
      <c r="F741" s="142"/>
    </row>
    <row r="742" ht="15.75" customHeight="1">
      <c r="A742" s="142"/>
      <c r="B742" s="142"/>
      <c r="C742" s="142"/>
      <c r="D742" s="142"/>
      <c r="E742" s="142"/>
      <c r="F742" s="142"/>
    </row>
    <row r="743" ht="15.75" customHeight="1">
      <c r="A743" s="142"/>
      <c r="B743" s="142"/>
      <c r="C743" s="142"/>
      <c r="D743" s="142"/>
      <c r="E743" s="142"/>
      <c r="F743" s="142"/>
    </row>
    <row r="744" ht="15.75" customHeight="1">
      <c r="A744" s="142"/>
      <c r="B744" s="142"/>
      <c r="C744" s="142"/>
      <c r="D744" s="142"/>
      <c r="E744" s="142"/>
      <c r="F744" s="142"/>
    </row>
    <row r="745" ht="15.75" customHeight="1">
      <c r="A745" s="142"/>
      <c r="B745" s="142"/>
      <c r="C745" s="142"/>
      <c r="D745" s="142"/>
      <c r="E745" s="142"/>
      <c r="F745" s="142"/>
    </row>
    <row r="746" ht="15.75" customHeight="1">
      <c r="A746" s="142"/>
      <c r="B746" s="142"/>
      <c r="C746" s="142"/>
      <c r="D746" s="142"/>
      <c r="E746" s="142"/>
      <c r="F746" s="142"/>
    </row>
    <row r="747" ht="15.75" customHeight="1">
      <c r="A747" s="142"/>
      <c r="B747" s="142"/>
      <c r="C747" s="142"/>
      <c r="D747" s="142"/>
      <c r="E747" s="142"/>
      <c r="F747" s="142"/>
    </row>
    <row r="748" ht="15.75" customHeight="1">
      <c r="A748" s="142"/>
      <c r="B748" s="142"/>
      <c r="C748" s="142"/>
      <c r="D748" s="142"/>
      <c r="E748" s="142"/>
      <c r="F748" s="142"/>
    </row>
    <row r="749" ht="15.75" customHeight="1">
      <c r="A749" s="142"/>
      <c r="B749" s="142"/>
      <c r="C749" s="142"/>
      <c r="D749" s="142"/>
      <c r="E749" s="142"/>
      <c r="F749" s="142"/>
    </row>
    <row r="750" ht="15.75" customHeight="1">
      <c r="A750" s="142"/>
      <c r="B750" s="142"/>
      <c r="C750" s="142"/>
      <c r="D750" s="142"/>
      <c r="E750" s="142"/>
      <c r="F750" s="142"/>
    </row>
    <row r="751" ht="15.75" customHeight="1">
      <c r="A751" s="142"/>
      <c r="B751" s="142"/>
      <c r="C751" s="142"/>
      <c r="D751" s="142"/>
      <c r="E751" s="142"/>
      <c r="F751" s="142"/>
    </row>
    <row r="752" ht="15.75" customHeight="1">
      <c r="A752" s="142"/>
      <c r="B752" s="142"/>
      <c r="C752" s="142"/>
      <c r="D752" s="142"/>
      <c r="E752" s="142"/>
      <c r="F752" s="142"/>
    </row>
    <row r="753" ht="15.75" customHeight="1">
      <c r="A753" s="142"/>
      <c r="B753" s="142"/>
      <c r="C753" s="142"/>
      <c r="D753" s="142"/>
      <c r="E753" s="142"/>
      <c r="F753" s="142"/>
    </row>
    <row r="754" ht="15.75" customHeight="1">
      <c r="A754" s="142"/>
      <c r="B754" s="142"/>
      <c r="C754" s="142"/>
      <c r="D754" s="142"/>
      <c r="E754" s="142"/>
      <c r="F754" s="142"/>
    </row>
    <row r="755" ht="15.75" customHeight="1">
      <c r="A755" s="142"/>
      <c r="B755" s="142"/>
      <c r="C755" s="142"/>
      <c r="D755" s="142"/>
      <c r="E755" s="142"/>
      <c r="F755" s="142"/>
    </row>
    <row r="756" ht="15.75" customHeight="1">
      <c r="A756" s="142"/>
      <c r="B756" s="142"/>
      <c r="C756" s="142"/>
      <c r="D756" s="142"/>
      <c r="E756" s="142"/>
      <c r="F756" s="142"/>
    </row>
    <row r="757" ht="15.75" customHeight="1">
      <c r="A757" s="142"/>
      <c r="B757" s="142"/>
      <c r="C757" s="142"/>
      <c r="D757" s="142"/>
      <c r="E757" s="142"/>
      <c r="F757" s="142"/>
    </row>
    <row r="758" ht="15.75" customHeight="1">
      <c r="A758" s="142"/>
      <c r="B758" s="142"/>
      <c r="C758" s="142"/>
      <c r="D758" s="142"/>
      <c r="E758" s="142"/>
      <c r="F758" s="142"/>
    </row>
    <row r="759" ht="15.75" customHeight="1">
      <c r="A759" s="142"/>
      <c r="B759" s="142"/>
      <c r="C759" s="142"/>
      <c r="D759" s="142"/>
      <c r="E759" s="142"/>
      <c r="F759" s="142"/>
    </row>
    <row r="760" ht="15.75" customHeight="1">
      <c r="A760" s="142"/>
      <c r="B760" s="142"/>
      <c r="C760" s="142"/>
      <c r="D760" s="142"/>
      <c r="E760" s="142"/>
      <c r="F760" s="142"/>
    </row>
    <row r="761" ht="15.75" customHeight="1">
      <c r="A761" s="142"/>
      <c r="B761" s="142"/>
      <c r="C761" s="142"/>
      <c r="D761" s="142"/>
      <c r="E761" s="142"/>
      <c r="F761" s="142"/>
    </row>
    <row r="762" ht="15.75" customHeight="1">
      <c r="A762" s="142"/>
      <c r="B762" s="142"/>
      <c r="C762" s="142"/>
      <c r="D762" s="142"/>
      <c r="E762" s="142"/>
      <c r="F762" s="142"/>
    </row>
    <row r="763" ht="15.75" customHeight="1">
      <c r="A763" s="142"/>
      <c r="B763" s="142"/>
      <c r="C763" s="142"/>
      <c r="D763" s="142"/>
      <c r="E763" s="142"/>
      <c r="F763" s="142"/>
    </row>
    <row r="764" ht="15.75" customHeight="1">
      <c r="A764" s="142"/>
      <c r="B764" s="142"/>
      <c r="C764" s="142"/>
      <c r="D764" s="142"/>
      <c r="E764" s="142"/>
      <c r="F764" s="142"/>
    </row>
    <row r="765" ht="15.75" customHeight="1">
      <c r="A765" s="142"/>
      <c r="B765" s="142"/>
      <c r="C765" s="142"/>
      <c r="D765" s="142"/>
      <c r="E765" s="142"/>
      <c r="F765" s="142"/>
    </row>
    <row r="766" ht="15.75" customHeight="1">
      <c r="A766" s="142"/>
      <c r="B766" s="142"/>
      <c r="C766" s="142"/>
      <c r="D766" s="142"/>
      <c r="E766" s="142"/>
      <c r="F766" s="142"/>
    </row>
    <row r="767" ht="15.75" customHeight="1">
      <c r="A767" s="142"/>
      <c r="B767" s="142"/>
      <c r="C767" s="142"/>
      <c r="D767" s="142"/>
      <c r="E767" s="142"/>
      <c r="F767" s="142"/>
    </row>
    <row r="768" ht="15.75" customHeight="1">
      <c r="A768" s="142"/>
      <c r="B768" s="142"/>
      <c r="C768" s="142"/>
      <c r="D768" s="142"/>
      <c r="E768" s="142"/>
      <c r="F768" s="142"/>
    </row>
    <row r="769" ht="15.75" customHeight="1">
      <c r="A769" s="142"/>
      <c r="B769" s="142"/>
      <c r="C769" s="142"/>
      <c r="D769" s="142"/>
      <c r="E769" s="142"/>
      <c r="F769" s="142"/>
    </row>
    <row r="770" ht="15.75" customHeight="1">
      <c r="A770" s="142"/>
      <c r="B770" s="142"/>
      <c r="C770" s="142"/>
      <c r="D770" s="142"/>
      <c r="E770" s="142"/>
      <c r="F770" s="142"/>
    </row>
    <row r="771" ht="15.75" customHeight="1">
      <c r="A771" s="142"/>
      <c r="B771" s="142"/>
      <c r="C771" s="142"/>
      <c r="D771" s="142"/>
      <c r="E771" s="142"/>
      <c r="F771" s="142"/>
    </row>
    <row r="772" ht="15.75" customHeight="1">
      <c r="A772" s="142"/>
      <c r="B772" s="142"/>
      <c r="C772" s="142"/>
      <c r="D772" s="142"/>
      <c r="E772" s="142"/>
      <c r="F772" s="142"/>
    </row>
    <row r="773" ht="15.75" customHeight="1">
      <c r="A773" s="142"/>
      <c r="B773" s="142"/>
      <c r="C773" s="142"/>
      <c r="D773" s="142"/>
      <c r="E773" s="142"/>
      <c r="F773" s="142"/>
    </row>
    <row r="774" ht="15.75" customHeight="1">
      <c r="A774" s="142"/>
      <c r="B774" s="142"/>
      <c r="C774" s="142"/>
      <c r="D774" s="142"/>
      <c r="E774" s="142"/>
      <c r="F774" s="142"/>
    </row>
    <row r="775" ht="15.75" customHeight="1">
      <c r="A775" s="142"/>
      <c r="B775" s="142"/>
      <c r="C775" s="142"/>
      <c r="D775" s="142"/>
      <c r="E775" s="142"/>
      <c r="F775" s="142"/>
    </row>
    <row r="776" ht="15.75" customHeight="1">
      <c r="A776" s="142"/>
      <c r="B776" s="142"/>
      <c r="C776" s="142"/>
      <c r="D776" s="142"/>
      <c r="E776" s="142"/>
      <c r="F776" s="142"/>
    </row>
    <row r="777" ht="15.75" customHeight="1">
      <c r="A777" s="142"/>
      <c r="B777" s="142"/>
      <c r="C777" s="142"/>
      <c r="D777" s="142"/>
      <c r="E777" s="142"/>
      <c r="F777" s="142"/>
    </row>
    <row r="778" ht="15.75" customHeight="1">
      <c r="A778" s="142"/>
      <c r="B778" s="142"/>
      <c r="C778" s="142"/>
      <c r="D778" s="142"/>
      <c r="E778" s="142"/>
      <c r="F778" s="142"/>
    </row>
    <row r="779" ht="15.75" customHeight="1">
      <c r="A779" s="142"/>
      <c r="B779" s="142"/>
      <c r="C779" s="142"/>
      <c r="D779" s="142"/>
      <c r="E779" s="142"/>
      <c r="F779" s="142"/>
    </row>
    <row r="780" ht="15.75" customHeight="1">
      <c r="A780" s="142"/>
      <c r="B780" s="142"/>
      <c r="C780" s="142"/>
      <c r="D780" s="142"/>
      <c r="E780" s="142"/>
      <c r="F780" s="142"/>
    </row>
    <row r="781" ht="15.75" customHeight="1">
      <c r="A781" s="142"/>
      <c r="B781" s="142"/>
      <c r="C781" s="142"/>
      <c r="D781" s="142"/>
      <c r="E781" s="142"/>
      <c r="F781" s="142"/>
    </row>
    <row r="782" ht="15.75" customHeight="1">
      <c r="A782" s="142"/>
      <c r="B782" s="142"/>
      <c r="C782" s="142"/>
      <c r="D782" s="142"/>
      <c r="E782" s="142"/>
      <c r="F782" s="142"/>
    </row>
    <row r="783" ht="15.75" customHeight="1">
      <c r="A783" s="142"/>
      <c r="B783" s="142"/>
      <c r="C783" s="142"/>
      <c r="D783" s="142"/>
      <c r="E783" s="142"/>
      <c r="F783" s="142"/>
    </row>
    <row r="784" ht="15.75" customHeight="1">
      <c r="A784" s="142"/>
      <c r="B784" s="142"/>
      <c r="C784" s="142"/>
      <c r="D784" s="142"/>
      <c r="E784" s="142"/>
      <c r="F784" s="142"/>
    </row>
    <row r="785" ht="15.75" customHeight="1">
      <c r="A785" s="142"/>
      <c r="B785" s="142"/>
      <c r="C785" s="142"/>
      <c r="D785" s="142"/>
      <c r="E785" s="142"/>
      <c r="F785" s="142"/>
    </row>
    <row r="786" ht="15.75" customHeight="1">
      <c r="A786" s="142"/>
      <c r="B786" s="142"/>
      <c r="C786" s="142"/>
      <c r="D786" s="142"/>
      <c r="E786" s="142"/>
      <c r="F786" s="142"/>
    </row>
    <row r="787" ht="15.75" customHeight="1">
      <c r="A787" s="142"/>
      <c r="B787" s="142"/>
      <c r="C787" s="142"/>
      <c r="D787" s="142"/>
      <c r="E787" s="142"/>
      <c r="F787" s="142"/>
    </row>
    <row r="788" ht="15.75" customHeight="1">
      <c r="A788" s="142"/>
      <c r="B788" s="142"/>
      <c r="C788" s="142"/>
      <c r="D788" s="142"/>
      <c r="E788" s="142"/>
      <c r="F788" s="142"/>
    </row>
    <row r="789" ht="15.75" customHeight="1">
      <c r="A789" s="142"/>
      <c r="B789" s="142"/>
      <c r="C789" s="142"/>
      <c r="D789" s="142"/>
      <c r="E789" s="142"/>
      <c r="F789" s="142"/>
    </row>
    <row r="790" ht="15.75" customHeight="1">
      <c r="A790" s="142"/>
      <c r="B790" s="142"/>
      <c r="C790" s="142"/>
      <c r="D790" s="142"/>
      <c r="E790" s="142"/>
      <c r="F790" s="142"/>
    </row>
    <row r="791" ht="15.75" customHeight="1">
      <c r="A791" s="142"/>
      <c r="B791" s="142"/>
      <c r="C791" s="142"/>
      <c r="D791" s="142"/>
      <c r="E791" s="142"/>
      <c r="F791" s="142"/>
    </row>
    <row r="792" ht="15.75" customHeight="1">
      <c r="A792" s="142"/>
      <c r="B792" s="142"/>
      <c r="C792" s="142"/>
      <c r="D792" s="142"/>
      <c r="E792" s="142"/>
      <c r="F792" s="142"/>
    </row>
    <row r="793" ht="15.75" customHeight="1">
      <c r="A793" s="142"/>
      <c r="B793" s="142"/>
      <c r="C793" s="142"/>
      <c r="D793" s="142"/>
      <c r="E793" s="142"/>
      <c r="F793" s="142"/>
    </row>
    <row r="794" ht="15.75" customHeight="1">
      <c r="A794" s="142"/>
      <c r="B794" s="142"/>
      <c r="C794" s="142"/>
      <c r="D794" s="142"/>
      <c r="E794" s="142"/>
      <c r="F794" s="142"/>
    </row>
    <row r="795" ht="15.75" customHeight="1">
      <c r="A795" s="142"/>
      <c r="B795" s="142"/>
      <c r="C795" s="142"/>
      <c r="D795" s="142"/>
      <c r="E795" s="142"/>
      <c r="F795" s="142"/>
    </row>
    <row r="796" ht="15.75" customHeight="1">
      <c r="A796" s="142"/>
      <c r="B796" s="142"/>
      <c r="C796" s="142"/>
      <c r="D796" s="142"/>
      <c r="E796" s="142"/>
      <c r="F796" s="142"/>
    </row>
    <row r="797" ht="15.75" customHeight="1">
      <c r="A797" s="142"/>
      <c r="B797" s="142"/>
      <c r="C797" s="142"/>
      <c r="D797" s="142"/>
      <c r="E797" s="142"/>
      <c r="F797" s="142"/>
    </row>
    <row r="798" ht="15.75" customHeight="1">
      <c r="A798" s="142"/>
      <c r="B798" s="142"/>
      <c r="C798" s="142"/>
      <c r="D798" s="142"/>
      <c r="E798" s="142"/>
      <c r="F798" s="142"/>
    </row>
    <row r="799" ht="15.75" customHeight="1">
      <c r="A799" s="142"/>
      <c r="B799" s="142"/>
      <c r="C799" s="142"/>
      <c r="D799" s="142"/>
      <c r="E799" s="142"/>
      <c r="F799" s="142"/>
    </row>
    <row r="800" ht="15.75" customHeight="1">
      <c r="A800" s="142"/>
      <c r="B800" s="142"/>
      <c r="C800" s="142"/>
      <c r="D800" s="142"/>
      <c r="E800" s="142"/>
      <c r="F800" s="142"/>
    </row>
    <row r="801" ht="15.75" customHeight="1">
      <c r="A801" s="142"/>
      <c r="B801" s="142"/>
      <c r="C801" s="142"/>
      <c r="D801" s="142"/>
      <c r="E801" s="142"/>
      <c r="F801" s="142"/>
    </row>
    <row r="802" ht="15.75" customHeight="1">
      <c r="A802" s="142"/>
      <c r="B802" s="142"/>
      <c r="C802" s="142"/>
      <c r="D802" s="142"/>
      <c r="E802" s="142"/>
      <c r="F802" s="142"/>
    </row>
    <row r="803" ht="15.75" customHeight="1">
      <c r="A803" s="142"/>
      <c r="B803" s="142"/>
      <c r="C803" s="142"/>
      <c r="D803" s="142"/>
      <c r="E803" s="142"/>
      <c r="F803" s="142"/>
    </row>
    <row r="804" ht="15.75" customHeight="1">
      <c r="A804" s="142"/>
      <c r="B804" s="142"/>
      <c r="C804" s="142"/>
      <c r="D804" s="142"/>
      <c r="E804" s="142"/>
      <c r="F804" s="142"/>
    </row>
    <row r="805" ht="15.75" customHeight="1">
      <c r="A805" s="142"/>
      <c r="B805" s="142"/>
      <c r="C805" s="142"/>
      <c r="D805" s="142"/>
      <c r="E805" s="142"/>
      <c r="F805" s="142"/>
    </row>
    <row r="806" ht="15.75" customHeight="1">
      <c r="A806" s="142"/>
      <c r="B806" s="142"/>
      <c r="C806" s="142"/>
      <c r="D806" s="142"/>
      <c r="E806" s="142"/>
      <c r="F806" s="142"/>
    </row>
    <row r="807" ht="15.75" customHeight="1">
      <c r="A807" s="142"/>
      <c r="B807" s="142"/>
      <c r="C807" s="142"/>
      <c r="D807" s="142"/>
      <c r="E807" s="142"/>
      <c r="F807" s="142"/>
    </row>
    <row r="808" ht="15.75" customHeight="1">
      <c r="A808" s="142"/>
      <c r="B808" s="142"/>
      <c r="C808" s="142"/>
      <c r="D808" s="142"/>
      <c r="E808" s="142"/>
      <c r="F808" s="142"/>
    </row>
    <row r="809" ht="15.75" customHeight="1">
      <c r="A809" s="142"/>
      <c r="B809" s="142"/>
      <c r="C809" s="142"/>
      <c r="D809" s="142"/>
      <c r="E809" s="142"/>
      <c r="F809" s="142"/>
    </row>
    <row r="810" ht="15.75" customHeight="1">
      <c r="A810" s="142"/>
      <c r="B810" s="142"/>
      <c r="C810" s="142"/>
      <c r="D810" s="142"/>
      <c r="E810" s="142"/>
      <c r="F810" s="142"/>
    </row>
    <row r="811" ht="15.75" customHeight="1">
      <c r="A811" s="142"/>
      <c r="B811" s="142"/>
      <c r="C811" s="142"/>
      <c r="D811" s="142"/>
      <c r="E811" s="142"/>
      <c r="F811" s="142"/>
    </row>
    <row r="812" ht="15.75" customHeight="1">
      <c r="A812" s="142"/>
      <c r="B812" s="142"/>
      <c r="C812" s="142"/>
      <c r="D812" s="142"/>
      <c r="E812" s="142"/>
      <c r="F812" s="142"/>
    </row>
    <row r="813" ht="15.75" customHeight="1">
      <c r="A813" s="142"/>
      <c r="B813" s="142"/>
      <c r="C813" s="142"/>
      <c r="D813" s="142"/>
      <c r="E813" s="142"/>
      <c r="F813" s="142"/>
    </row>
    <row r="814" ht="15.75" customHeight="1">
      <c r="A814" s="142"/>
      <c r="B814" s="142"/>
      <c r="C814" s="142"/>
      <c r="D814" s="142"/>
      <c r="E814" s="142"/>
      <c r="F814" s="142"/>
    </row>
    <row r="815" ht="15.75" customHeight="1">
      <c r="A815" s="142"/>
      <c r="B815" s="142"/>
      <c r="C815" s="142"/>
      <c r="D815" s="142"/>
      <c r="E815" s="142"/>
      <c r="F815" s="142"/>
    </row>
    <row r="816" ht="15.75" customHeight="1">
      <c r="A816" s="142"/>
      <c r="B816" s="142"/>
      <c r="C816" s="142"/>
      <c r="D816" s="142"/>
      <c r="E816" s="142"/>
      <c r="F816" s="142"/>
    </row>
    <row r="817" ht="15.75" customHeight="1">
      <c r="A817" s="142"/>
      <c r="B817" s="142"/>
      <c r="C817" s="142"/>
      <c r="D817" s="142"/>
      <c r="E817" s="142"/>
      <c r="F817" s="142"/>
    </row>
    <row r="818" ht="15.75" customHeight="1">
      <c r="A818" s="142"/>
      <c r="B818" s="142"/>
      <c r="C818" s="142"/>
      <c r="D818" s="142"/>
      <c r="E818" s="142"/>
      <c r="F818" s="142"/>
    </row>
    <row r="819" ht="15.75" customHeight="1">
      <c r="A819" s="142"/>
      <c r="B819" s="142"/>
      <c r="C819" s="142"/>
      <c r="D819" s="142"/>
      <c r="E819" s="142"/>
      <c r="F819" s="142"/>
    </row>
    <row r="820" ht="15.75" customHeight="1">
      <c r="A820" s="142"/>
      <c r="B820" s="142"/>
      <c r="C820" s="142"/>
      <c r="D820" s="142"/>
      <c r="E820" s="142"/>
      <c r="F820" s="142"/>
    </row>
    <row r="821" ht="15.75" customHeight="1">
      <c r="A821" s="142"/>
      <c r="B821" s="142"/>
      <c r="C821" s="142"/>
      <c r="D821" s="142"/>
      <c r="E821" s="142"/>
      <c r="F821" s="142"/>
    </row>
    <row r="822" ht="15.75" customHeight="1">
      <c r="A822" s="142"/>
      <c r="B822" s="142"/>
      <c r="C822" s="142"/>
      <c r="D822" s="142"/>
      <c r="E822" s="142"/>
      <c r="F822" s="142"/>
    </row>
    <row r="823" ht="15.75" customHeight="1">
      <c r="A823" s="142"/>
      <c r="B823" s="142"/>
      <c r="C823" s="142"/>
      <c r="D823" s="142"/>
      <c r="E823" s="142"/>
      <c r="F823" s="142"/>
    </row>
    <row r="824" ht="15.75" customHeight="1">
      <c r="A824" s="142"/>
      <c r="B824" s="142"/>
      <c r="C824" s="142"/>
      <c r="D824" s="142"/>
      <c r="E824" s="142"/>
      <c r="F824" s="142"/>
    </row>
    <row r="825" ht="15.75" customHeight="1">
      <c r="A825" s="142"/>
      <c r="B825" s="142"/>
      <c r="C825" s="142"/>
      <c r="D825" s="142"/>
      <c r="E825" s="142"/>
      <c r="F825" s="142"/>
    </row>
    <row r="826" ht="15.75" customHeight="1">
      <c r="A826" s="142"/>
      <c r="B826" s="142"/>
      <c r="C826" s="142"/>
      <c r="D826" s="142"/>
      <c r="E826" s="142"/>
      <c r="F826" s="142"/>
    </row>
    <row r="827" ht="15.75" customHeight="1">
      <c r="A827" s="142"/>
      <c r="B827" s="142"/>
      <c r="C827" s="142"/>
      <c r="D827" s="142"/>
      <c r="E827" s="142"/>
      <c r="F827" s="142"/>
    </row>
    <row r="828" ht="15.75" customHeight="1">
      <c r="A828" s="142"/>
      <c r="B828" s="142"/>
      <c r="C828" s="142"/>
      <c r="D828" s="142"/>
      <c r="E828" s="142"/>
      <c r="F828" s="142"/>
    </row>
    <row r="829" ht="15.75" customHeight="1">
      <c r="A829" s="142"/>
      <c r="B829" s="142"/>
      <c r="C829" s="142"/>
      <c r="D829" s="142"/>
      <c r="E829" s="142"/>
      <c r="F829" s="142"/>
    </row>
    <row r="830" ht="15.75" customHeight="1">
      <c r="A830" s="142"/>
      <c r="B830" s="142"/>
      <c r="C830" s="142"/>
      <c r="D830" s="142"/>
      <c r="E830" s="142"/>
      <c r="F830" s="142"/>
    </row>
    <row r="831" ht="15.75" customHeight="1">
      <c r="A831" s="142"/>
      <c r="B831" s="142"/>
      <c r="C831" s="142"/>
      <c r="D831" s="142"/>
      <c r="E831" s="142"/>
      <c r="F831" s="142"/>
    </row>
    <row r="832" ht="15.75" customHeight="1">
      <c r="A832" s="142"/>
      <c r="B832" s="142"/>
      <c r="C832" s="142"/>
      <c r="D832" s="142"/>
      <c r="E832" s="142"/>
      <c r="F832" s="142"/>
    </row>
    <row r="833" ht="15.75" customHeight="1">
      <c r="A833" s="142"/>
      <c r="B833" s="142"/>
      <c r="C833" s="142"/>
      <c r="D833" s="142"/>
      <c r="E833" s="142"/>
      <c r="F833" s="142"/>
    </row>
    <row r="834" ht="15.75" customHeight="1">
      <c r="A834" s="142"/>
      <c r="B834" s="142"/>
      <c r="C834" s="142"/>
      <c r="D834" s="142"/>
      <c r="E834" s="142"/>
      <c r="F834" s="142"/>
    </row>
    <row r="835" ht="15.75" customHeight="1">
      <c r="A835" s="142"/>
      <c r="B835" s="142"/>
      <c r="C835" s="142"/>
      <c r="D835" s="142"/>
      <c r="E835" s="142"/>
      <c r="F835" s="142"/>
    </row>
    <row r="836" ht="15.75" customHeight="1">
      <c r="A836" s="142"/>
      <c r="B836" s="142"/>
      <c r="C836" s="142"/>
      <c r="D836" s="142"/>
      <c r="E836" s="142"/>
      <c r="F836" s="142"/>
    </row>
    <row r="837" ht="15.75" customHeight="1">
      <c r="A837" s="142"/>
      <c r="B837" s="142"/>
      <c r="C837" s="142"/>
      <c r="D837" s="142"/>
      <c r="E837" s="142"/>
      <c r="F837" s="142"/>
    </row>
    <row r="838" ht="15.75" customHeight="1">
      <c r="A838" s="142"/>
      <c r="B838" s="142"/>
      <c r="C838" s="142"/>
      <c r="D838" s="142"/>
      <c r="E838" s="142"/>
      <c r="F838" s="142"/>
    </row>
    <row r="839" ht="15.75" customHeight="1">
      <c r="A839" s="142"/>
      <c r="B839" s="142"/>
      <c r="C839" s="142"/>
      <c r="D839" s="142"/>
      <c r="E839" s="142"/>
      <c r="F839" s="142"/>
    </row>
    <row r="840" ht="15.75" customHeight="1">
      <c r="A840" s="142"/>
      <c r="B840" s="142"/>
      <c r="C840" s="142"/>
      <c r="D840" s="142"/>
      <c r="E840" s="142"/>
      <c r="F840" s="142"/>
    </row>
    <row r="841" ht="15.75" customHeight="1">
      <c r="A841" s="142"/>
      <c r="B841" s="142"/>
      <c r="C841" s="142"/>
      <c r="D841" s="142"/>
      <c r="E841" s="142"/>
      <c r="F841" s="142"/>
    </row>
    <row r="842" ht="15.75" customHeight="1">
      <c r="A842" s="142"/>
      <c r="B842" s="142"/>
      <c r="C842" s="142"/>
      <c r="D842" s="142"/>
      <c r="E842" s="142"/>
      <c r="F842" s="142"/>
    </row>
    <row r="843" ht="15.75" customHeight="1">
      <c r="A843" s="142"/>
      <c r="B843" s="142"/>
      <c r="C843" s="142"/>
      <c r="D843" s="142"/>
      <c r="E843" s="142"/>
      <c r="F843" s="142"/>
    </row>
    <row r="844" ht="15.75" customHeight="1">
      <c r="A844" s="142"/>
      <c r="B844" s="142"/>
      <c r="C844" s="142"/>
      <c r="D844" s="142"/>
      <c r="E844" s="142"/>
      <c r="F844" s="142"/>
    </row>
    <row r="845" ht="15.75" customHeight="1">
      <c r="A845" s="142"/>
      <c r="B845" s="142"/>
      <c r="C845" s="142"/>
      <c r="D845" s="142"/>
      <c r="E845" s="142"/>
      <c r="F845" s="142"/>
    </row>
    <row r="846" ht="15.75" customHeight="1">
      <c r="A846" s="142"/>
      <c r="B846" s="142"/>
      <c r="C846" s="142"/>
      <c r="D846" s="142"/>
      <c r="E846" s="142"/>
      <c r="F846" s="142"/>
    </row>
    <row r="847" ht="15.75" customHeight="1">
      <c r="A847" s="142"/>
      <c r="B847" s="142"/>
      <c r="C847" s="142"/>
      <c r="D847" s="142"/>
      <c r="E847" s="142"/>
      <c r="F847" s="142"/>
    </row>
    <row r="848" ht="15.75" customHeight="1">
      <c r="A848" s="142"/>
      <c r="B848" s="142"/>
      <c r="C848" s="142"/>
      <c r="D848" s="142"/>
      <c r="E848" s="142"/>
      <c r="F848" s="142"/>
    </row>
    <row r="849" ht="15.75" customHeight="1">
      <c r="A849" s="142"/>
      <c r="B849" s="142"/>
      <c r="C849" s="142"/>
      <c r="D849" s="142"/>
      <c r="E849" s="142"/>
      <c r="F849" s="142"/>
    </row>
    <row r="850" ht="15.75" customHeight="1">
      <c r="A850" s="142"/>
      <c r="B850" s="142"/>
      <c r="C850" s="142"/>
      <c r="D850" s="142"/>
      <c r="E850" s="142"/>
      <c r="F850" s="142"/>
    </row>
    <row r="851" ht="15.75" customHeight="1">
      <c r="A851" s="142"/>
      <c r="B851" s="142"/>
      <c r="C851" s="142"/>
      <c r="D851" s="142"/>
      <c r="E851" s="142"/>
      <c r="F851" s="142"/>
    </row>
    <row r="852" ht="15.75" customHeight="1">
      <c r="A852" s="142"/>
      <c r="B852" s="142"/>
      <c r="C852" s="142"/>
      <c r="D852" s="142"/>
      <c r="E852" s="142"/>
      <c r="F852" s="142"/>
    </row>
    <row r="853" ht="15.75" customHeight="1">
      <c r="A853" s="142"/>
      <c r="B853" s="142"/>
      <c r="C853" s="142"/>
      <c r="D853" s="142"/>
      <c r="E853" s="142"/>
      <c r="F853" s="142"/>
    </row>
    <row r="854" ht="15.75" customHeight="1">
      <c r="A854" s="142"/>
      <c r="B854" s="142"/>
      <c r="C854" s="142"/>
      <c r="D854" s="142"/>
      <c r="E854" s="142"/>
      <c r="F854" s="142"/>
    </row>
    <row r="855" ht="15.75" customHeight="1">
      <c r="A855" s="142"/>
      <c r="B855" s="142"/>
      <c r="C855" s="142"/>
      <c r="D855" s="142"/>
      <c r="E855" s="142"/>
      <c r="F855" s="142"/>
    </row>
    <row r="856" ht="15.75" customHeight="1">
      <c r="A856" s="142"/>
      <c r="B856" s="142"/>
      <c r="C856" s="142"/>
      <c r="D856" s="142"/>
      <c r="E856" s="142"/>
      <c r="F856" s="142"/>
    </row>
    <row r="857" ht="15.75" customHeight="1">
      <c r="A857" s="142"/>
      <c r="B857" s="142"/>
      <c r="C857" s="142"/>
      <c r="D857" s="142"/>
      <c r="E857" s="142"/>
      <c r="F857" s="142"/>
    </row>
    <row r="858" ht="15.75" customHeight="1">
      <c r="A858" s="142"/>
      <c r="B858" s="142"/>
      <c r="C858" s="142"/>
      <c r="D858" s="142"/>
      <c r="E858" s="142"/>
      <c r="F858" s="142"/>
    </row>
    <row r="859" ht="15.75" customHeight="1">
      <c r="A859" s="142"/>
      <c r="B859" s="142"/>
      <c r="C859" s="142"/>
      <c r="D859" s="142"/>
      <c r="E859" s="142"/>
      <c r="F859" s="142"/>
    </row>
    <row r="860" ht="15.75" customHeight="1">
      <c r="A860" s="142"/>
      <c r="B860" s="142"/>
      <c r="C860" s="142"/>
      <c r="D860" s="142"/>
      <c r="E860" s="142"/>
      <c r="F860" s="142"/>
    </row>
    <row r="861" ht="15.75" customHeight="1">
      <c r="A861" s="142"/>
      <c r="B861" s="142"/>
      <c r="C861" s="142"/>
      <c r="D861" s="142"/>
      <c r="E861" s="142"/>
      <c r="F861" s="142"/>
    </row>
    <row r="862" ht="15.75" customHeight="1">
      <c r="A862" s="142"/>
      <c r="B862" s="142"/>
      <c r="C862" s="142"/>
      <c r="D862" s="142"/>
      <c r="E862" s="142"/>
      <c r="F862" s="142"/>
    </row>
    <row r="863" ht="15.75" customHeight="1">
      <c r="A863" s="142"/>
      <c r="B863" s="142"/>
      <c r="C863" s="142"/>
      <c r="D863" s="142"/>
      <c r="E863" s="142"/>
      <c r="F863" s="142"/>
    </row>
    <row r="864" ht="15.75" customHeight="1">
      <c r="A864" s="142"/>
      <c r="B864" s="142"/>
      <c r="C864" s="142"/>
      <c r="D864" s="142"/>
      <c r="E864" s="142"/>
      <c r="F864" s="142"/>
    </row>
    <row r="865" ht="15.75" customHeight="1">
      <c r="A865" s="142"/>
      <c r="B865" s="142"/>
      <c r="C865" s="142"/>
      <c r="D865" s="142"/>
      <c r="E865" s="142"/>
      <c r="F865" s="142"/>
    </row>
    <row r="866" ht="15.75" customHeight="1">
      <c r="A866" s="142"/>
      <c r="B866" s="142"/>
      <c r="C866" s="142"/>
      <c r="D866" s="142"/>
      <c r="E866" s="142"/>
      <c r="F866" s="142"/>
    </row>
    <row r="867" ht="15.75" customHeight="1">
      <c r="A867" s="142"/>
      <c r="B867" s="142"/>
      <c r="C867" s="142"/>
      <c r="D867" s="142"/>
      <c r="E867" s="142"/>
      <c r="F867" s="142"/>
    </row>
    <row r="868" ht="15.75" customHeight="1">
      <c r="A868" s="142"/>
      <c r="B868" s="142"/>
      <c r="C868" s="142"/>
      <c r="D868" s="142"/>
      <c r="E868" s="142"/>
      <c r="F868" s="142"/>
    </row>
    <row r="869" ht="15.75" customHeight="1">
      <c r="A869" s="142"/>
      <c r="B869" s="142"/>
      <c r="C869" s="142"/>
      <c r="D869" s="142"/>
      <c r="E869" s="142"/>
      <c r="F869" s="142"/>
    </row>
    <row r="870" ht="15.75" customHeight="1">
      <c r="A870" s="142"/>
      <c r="B870" s="142"/>
      <c r="C870" s="142"/>
      <c r="D870" s="142"/>
      <c r="E870" s="142"/>
      <c r="F870" s="142"/>
    </row>
    <row r="871" ht="15.75" customHeight="1">
      <c r="A871" s="142"/>
      <c r="B871" s="142"/>
      <c r="C871" s="142"/>
      <c r="D871" s="142"/>
      <c r="E871" s="142"/>
      <c r="F871" s="142"/>
    </row>
    <row r="872" ht="15.75" customHeight="1">
      <c r="A872" s="142"/>
      <c r="B872" s="142"/>
      <c r="C872" s="142"/>
      <c r="D872" s="142"/>
      <c r="E872" s="142"/>
      <c r="F872" s="142"/>
    </row>
    <row r="873" ht="15.75" customHeight="1">
      <c r="A873" s="142"/>
      <c r="B873" s="142"/>
      <c r="C873" s="142"/>
      <c r="D873" s="142"/>
      <c r="E873" s="142"/>
      <c r="F873" s="142"/>
    </row>
    <row r="874" ht="15.75" customHeight="1">
      <c r="A874" s="142"/>
      <c r="B874" s="142"/>
      <c r="C874" s="142"/>
      <c r="D874" s="142"/>
      <c r="E874" s="142"/>
      <c r="F874" s="142"/>
    </row>
    <row r="875" ht="15.75" customHeight="1">
      <c r="A875" s="142"/>
      <c r="B875" s="142"/>
      <c r="C875" s="142"/>
      <c r="D875" s="142"/>
      <c r="E875" s="142"/>
      <c r="F875" s="142"/>
    </row>
    <row r="876" ht="15.75" customHeight="1">
      <c r="A876" s="142"/>
      <c r="B876" s="142"/>
      <c r="C876" s="142"/>
      <c r="D876" s="142"/>
      <c r="E876" s="142"/>
      <c r="F876" s="142"/>
    </row>
    <row r="877" ht="15.75" customHeight="1">
      <c r="A877" s="142"/>
      <c r="B877" s="142"/>
      <c r="C877" s="142"/>
      <c r="D877" s="142"/>
      <c r="E877" s="142"/>
      <c r="F877" s="142"/>
    </row>
    <row r="878" ht="15.75" customHeight="1">
      <c r="A878" s="142"/>
      <c r="B878" s="142"/>
      <c r="C878" s="142"/>
      <c r="D878" s="142"/>
      <c r="E878" s="142"/>
      <c r="F878" s="142"/>
    </row>
    <row r="879" ht="15.75" customHeight="1">
      <c r="A879" s="142"/>
      <c r="B879" s="142"/>
      <c r="C879" s="142"/>
      <c r="D879" s="142"/>
      <c r="E879" s="142"/>
      <c r="F879" s="142"/>
    </row>
    <row r="880" ht="15.75" customHeight="1">
      <c r="A880" s="142"/>
      <c r="B880" s="142"/>
      <c r="C880" s="142"/>
      <c r="D880" s="142"/>
      <c r="E880" s="142"/>
      <c r="F880" s="142"/>
    </row>
    <row r="881" ht="15.75" customHeight="1">
      <c r="A881" s="142"/>
      <c r="B881" s="142"/>
      <c r="C881" s="142"/>
      <c r="D881" s="142"/>
      <c r="E881" s="142"/>
      <c r="F881" s="142"/>
    </row>
    <row r="882" ht="15.75" customHeight="1">
      <c r="A882" s="142"/>
      <c r="B882" s="142"/>
      <c r="C882" s="142"/>
      <c r="D882" s="142"/>
      <c r="E882" s="142"/>
      <c r="F882" s="142"/>
    </row>
    <row r="883" ht="15.75" customHeight="1">
      <c r="A883" s="142"/>
      <c r="B883" s="142"/>
      <c r="C883" s="142"/>
      <c r="D883" s="142"/>
      <c r="E883" s="142"/>
      <c r="F883" s="142"/>
    </row>
    <row r="884" ht="15.75" customHeight="1">
      <c r="A884" s="142"/>
      <c r="B884" s="142"/>
      <c r="C884" s="142"/>
      <c r="D884" s="142"/>
      <c r="E884" s="142"/>
      <c r="F884" s="142"/>
    </row>
    <row r="885" ht="15.75" customHeight="1">
      <c r="A885" s="142"/>
      <c r="B885" s="142"/>
      <c r="C885" s="142"/>
      <c r="D885" s="142"/>
      <c r="E885" s="142"/>
      <c r="F885" s="142"/>
    </row>
    <row r="886" ht="15.75" customHeight="1">
      <c r="A886" s="142"/>
      <c r="B886" s="142"/>
      <c r="C886" s="142"/>
      <c r="D886" s="142"/>
      <c r="E886" s="142"/>
      <c r="F886" s="142"/>
    </row>
    <row r="887" ht="15.75" customHeight="1">
      <c r="A887" s="142"/>
      <c r="B887" s="142"/>
      <c r="C887" s="142"/>
      <c r="D887" s="142"/>
      <c r="E887" s="142"/>
      <c r="F887" s="142"/>
    </row>
    <row r="888" ht="15.75" customHeight="1">
      <c r="A888" s="142"/>
      <c r="B888" s="142"/>
      <c r="C888" s="142"/>
      <c r="D888" s="142"/>
      <c r="E888" s="142"/>
      <c r="F888" s="142"/>
    </row>
    <row r="889" ht="15.75" customHeight="1">
      <c r="A889" s="142"/>
      <c r="B889" s="142"/>
      <c r="C889" s="142"/>
      <c r="D889" s="142"/>
      <c r="E889" s="142"/>
      <c r="F889" s="142"/>
    </row>
    <row r="890" ht="15.75" customHeight="1">
      <c r="A890" s="142"/>
      <c r="B890" s="142"/>
      <c r="C890" s="142"/>
      <c r="D890" s="142"/>
      <c r="E890" s="142"/>
      <c r="F890" s="142"/>
    </row>
    <row r="891" ht="15.75" customHeight="1">
      <c r="A891" s="142"/>
      <c r="B891" s="142"/>
      <c r="C891" s="142"/>
      <c r="D891" s="142"/>
      <c r="E891" s="142"/>
      <c r="F891" s="142"/>
    </row>
    <row r="892" ht="15.75" customHeight="1">
      <c r="A892" s="142"/>
      <c r="B892" s="142"/>
      <c r="C892" s="142"/>
      <c r="D892" s="142"/>
      <c r="E892" s="142"/>
      <c r="F892" s="142"/>
    </row>
    <row r="893" ht="15.75" customHeight="1">
      <c r="A893" s="142"/>
      <c r="B893" s="142"/>
      <c r="C893" s="142"/>
      <c r="D893" s="142"/>
      <c r="E893" s="142"/>
      <c r="F893" s="142"/>
    </row>
    <row r="894" ht="15.75" customHeight="1">
      <c r="A894" s="142"/>
      <c r="B894" s="142"/>
      <c r="C894" s="142"/>
      <c r="D894" s="142"/>
      <c r="E894" s="142"/>
      <c r="F894" s="142"/>
    </row>
    <row r="895" ht="15.75" customHeight="1">
      <c r="A895" s="142"/>
      <c r="B895" s="142"/>
      <c r="C895" s="142"/>
      <c r="D895" s="142"/>
      <c r="E895" s="142"/>
      <c r="F895" s="142"/>
    </row>
    <row r="896" ht="15.75" customHeight="1">
      <c r="A896" s="142"/>
      <c r="B896" s="142"/>
      <c r="C896" s="142"/>
      <c r="D896" s="142"/>
      <c r="E896" s="142"/>
      <c r="F896" s="142"/>
    </row>
    <row r="897" ht="15.75" customHeight="1">
      <c r="A897" s="142"/>
      <c r="B897" s="142"/>
      <c r="C897" s="142"/>
      <c r="D897" s="142"/>
      <c r="E897" s="142"/>
      <c r="F897" s="142"/>
    </row>
    <row r="898" ht="15.75" customHeight="1">
      <c r="A898" s="142"/>
      <c r="B898" s="142"/>
      <c r="C898" s="142"/>
      <c r="D898" s="142"/>
      <c r="E898" s="142"/>
      <c r="F898" s="142"/>
    </row>
    <row r="899" ht="15.75" customHeight="1">
      <c r="A899" s="142"/>
      <c r="B899" s="142"/>
      <c r="C899" s="142"/>
      <c r="D899" s="142"/>
      <c r="E899" s="142"/>
      <c r="F899" s="142"/>
    </row>
    <row r="900" ht="15.75" customHeight="1">
      <c r="A900" s="142"/>
      <c r="B900" s="142"/>
      <c r="C900" s="142"/>
      <c r="D900" s="142"/>
      <c r="E900" s="142"/>
      <c r="F900" s="142"/>
    </row>
    <row r="901" ht="15.75" customHeight="1">
      <c r="A901" s="142"/>
      <c r="B901" s="142"/>
      <c r="C901" s="142"/>
      <c r="D901" s="142"/>
      <c r="E901" s="142"/>
      <c r="F901" s="142"/>
    </row>
    <row r="902" ht="15.75" customHeight="1">
      <c r="A902" s="142"/>
      <c r="B902" s="142"/>
      <c r="C902" s="142"/>
      <c r="D902" s="142"/>
      <c r="E902" s="142"/>
      <c r="F902" s="142"/>
    </row>
    <row r="903" ht="15.75" customHeight="1">
      <c r="A903" s="142"/>
      <c r="B903" s="142"/>
      <c r="C903" s="142"/>
      <c r="D903" s="142"/>
      <c r="E903" s="142"/>
      <c r="F903" s="142"/>
    </row>
    <row r="904" ht="15.75" customHeight="1">
      <c r="A904" s="142"/>
      <c r="B904" s="142"/>
      <c r="C904" s="142"/>
      <c r="D904" s="142"/>
      <c r="E904" s="142"/>
      <c r="F904" s="142"/>
    </row>
    <row r="905" ht="15.75" customHeight="1">
      <c r="A905" s="142"/>
      <c r="B905" s="142"/>
      <c r="C905" s="142"/>
      <c r="D905" s="142"/>
      <c r="E905" s="142"/>
      <c r="F905" s="142"/>
    </row>
    <row r="906" ht="15.75" customHeight="1">
      <c r="A906" s="142"/>
      <c r="B906" s="142"/>
      <c r="C906" s="142"/>
      <c r="D906" s="142"/>
      <c r="E906" s="142"/>
      <c r="F906" s="142"/>
    </row>
    <row r="907" ht="15.75" customHeight="1">
      <c r="A907" s="142"/>
      <c r="B907" s="142"/>
      <c r="C907" s="142"/>
      <c r="D907" s="142"/>
      <c r="E907" s="142"/>
      <c r="F907" s="142"/>
    </row>
    <row r="908" ht="15.75" customHeight="1">
      <c r="A908" s="142"/>
      <c r="B908" s="142"/>
      <c r="C908" s="142"/>
      <c r="D908" s="142"/>
      <c r="E908" s="142"/>
      <c r="F908" s="142"/>
    </row>
    <row r="909" ht="15.75" customHeight="1">
      <c r="A909" s="142"/>
      <c r="B909" s="142"/>
      <c r="C909" s="142"/>
      <c r="D909" s="142"/>
      <c r="E909" s="142"/>
      <c r="F909" s="142"/>
    </row>
    <row r="910" ht="15.75" customHeight="1">
      <c r="A910" s="142"/>
      <c r="B910" s="142"/>
      <c r="C910" s="142"/>
      <c r="D910" s="142"/>
      <c r="E910" s="142"/>
      <c r="F910" s="142"/>
    </row>
    <row r="911" ht="15.75" customHeight="1">
      <c r="A911" s="142"/>
      <c r="B911" s="142"/>
      <c r="C911" s="142"/>
      <c r="D911" s="142"/>
      <c r="E911" s="142"/>
      <c r="F911" s="142"/>
    </row>
    <row r="912" ht="15.75" customHeight="1">
      <c r="A912" s="142"/>
      <c r="B912" s="142"/>
      <c r="C912" s="142"/>
      <c r="D912" s="142"/>
      <c r="E912" s="142"/>
      <c r="F912" s="142"/>
    </row>
    <row r="913" ht="15.75" customHeight="1">
      <c r="A913" s="142"/>
      <c r="B913" s="142"/>
      <c r="C913" s="142"/>
      <c r="D913" s="142"/>
      <c r="E913" s="142"/>
      <c r="F913" s="142"/>
    </row>
    <row r="914" ht="15.75" customHeight="1">
      <c r="A914" s="142"/>
      <c r="B914" s="142"/>
      <c r="C914" s="142"/>
      <c r="D914" s="142"/>
      <c r="E914" s="142"/>
      <c r="F914" s="142"/>
    </row>
    <row r="915" ht="15.75" customHeight="1">
      <c r="A915" s="142"/>
      <c r="B915" s="142"/>
      <c r="C915" s="142"/>
      <c r="D915" s="142"/>
      <c r="E915" s="142"/>
      <c r="F915" s="142"/>
    </row>
    <row r="916" ht="15.75" customHeight="1">
      <c r="A916" s="142"/>
      <c r="B916" s="142"/>
      <c r="C916" s="142"/>
      <c r="D916" s="142"/>
      <c r="E916" s="142"/>
      <c r="F916" s="142"/>
    </row>
    <row r="917" ht="15.75" customHeight="1">
      <c r="A917" s="142"/>
      <c r="B917" s="142"/>
      <c r="C917" s="142"/>
      <c r="D917" s="142"/>
      <c r="E917" s="142"/>
      <c r="F917" s="142"/>
    </row>
    <row r="918" ht="15.75" customHeight="1">
      <c r="A918" s="142"/>
      <c r="B918" s="142"/>
      <c r="C918" s="142"/>
      <c r="D918" s="142"/>
      <c r="E918" s="142"/>
      <c r="F918" s="142"/>
    </row>
    <row r="919" ht="15.75" customHeight="1">
      <c r="A919" s="142"/>
      <c r="B919" s="142"/>
      <c r="C919" s="142"/>
      <c r="D919" s="142"/>
      <c r="E919" s="142"/>
      <c r="F919" s="142"/>
    </row>
    <row r="920" ht="15.75" customHeight="1">
      <c r="A920" s="142"/>
      <c r="B920" s="142"/>
      <c r="C920" s="142"/>
      <c r="D920" s="142"/>
      <c r="E920" s="142"/>
      <c r="F920" s="142"/>
    </row>
    <row r="921" ht="15.75" customHeight="1">
      <c r="A921" s="142"/>
      <c r="B921" s="142"/>
      <c r="C921" s="142"/>
      <c r="D921" s="142"/>
      <c r="E921" s="142"/>
      <c r="F921" s="142"/>
    </row>
    <row r="922" ht="15.75" customHeight="1">
      <c r="A922" s="142"/>
      <c r="B922" s="142"/>
      <c r="C922" s="142"/>
      <c r="D922" s="142"/>
      <c r="E922" s="142"/>
      <c r="F922" s="142"/>
    </row>
    <row r="923" ht="15.75" customHeight="1">
      <c r="A923" s="142"/>
      <c r="B923" s="142"/>
      <c r="C923" s="142"/>
      <c r="D923" s="142"/>
      <c r="E923" s="142"/>
      <c r="F923" s="142"/>
    </row>
    <row r="924" ht="15.75" customHeight="1">
      <c r="A924" s="142"/>
      <c r="B924" s="142"/>
      <c r="C924" s="142"/>
      <c r="D924" s="142"/>
      <c r="E924" s="142"/>
      <c r="F924" s="142"/>
    </row>
    <row r="925" ht="15.75" customHeight="1">
      <c r="A925" s="142"/>
      <c r="B925" s="142"/>
      <c r="C925" s="142"/>
      <c r="D925" s="142"/>
      <c r="E925" s="142"/>
      <c r="F925" s="142"/>
    </row>
    <row r="926" ht="15.75" customHeight="1">
      <c r="A926" s="142"/>
      <c r="B926" s="142"/>
      <c r="C926" s="142"/>
      <c r="D926" s="142"/>
      <c r="E926" s="142"/>
      <c r="F926" s="142"/>
    </row>
    <row r="927" ht="15.75" customHeight="1">
      <c r="A927" s="142"/>
      <c r="B927" s="142"/>
      <c r="C927" s="142"/>
      <c r="D927" s="142"/>
      <c r="E927" s="142"/>
      <c r="F927" s="142"/>
    </row>
    <row r="928" ht="15.75" customHeight="1">
      <c r="A928" s="142"/>
      <c r="B928" s="142"/>
      <c r="C928" s="142"/>
      <c r="D928" s="142"/>
      <c r="E928" s="142"/>
      <c r="F928" s="142"/>
    </row>
    <row r="929" ht="15.75" customHeight="1">
      <c r="A929" s="142"/>
      <c r="B929" s="142"/>
      <c r="C929" s="142"/>
      <c r="D929" s="142"/>
      <c r="E929" s="142"/>
      <c r="F929" s="142"/>
    </row>
    <row r="930" ht="15.75" customHeight="1">
      <c r="A930" s="142"/>
      <c r="B930" s="142"/>
      <c r="C930" s="142"/>
      <c r="D930" s="142"/>
      <c r="E930" s="142"/>
      <c r="F930" s="142"/>
    </row>
    <row r="931" ht="15.75" customHeight="1">
      <c r="A931" s="142"/>
      <c r="B931" s="142"/>
      <c r="C931" s="142"/>
      <c r="D931" s="142"/>
      <c r="E931" s="142"/>
      <c r="F931" s="142"/>
    </row>
    <row r="932" ht="15.75" customHeight="1">
      <c r="A932" s="142"/>
      <c r="B932" s="142"/>
      <c r="C932" s="142"/>
      <c r="D932" s="142"/>
      <c r="E932" s="142"/>
      <c r="F932" s="142"/>
    </row>
    <row r="933" ht="15.75" customHeight="1">
      <c r="A933" s="142"/>
      <c r="B933" s="142"/>
      <c r="C933" s="142"/>
      <c r="D933" s="142"/>
      <c r="E933" s="142"/>
      <c r="F933" s="142"/>
    </row>
    <row r="934" ht="15.75" customHeight="1">
      <c r="A934" s="142"/>
      <c r="B934" s="142"/>
      <c r="C934" s="142"/>
      <c r="D934" s="142"/>
      <c r="E934" s="142"/>
      <c r="F934" s="142"/>
    </row>
    <row r="935" ht="15.75" customHeight="1">
      <c r="A935" s="142"/>
      <c r="B935" s="142"/>
      <c r="C935" s="142"/>
      <c r="D935" s="142"/>
      <c r="E935" s="142"/>
      <c r="F935" s="142"/>
    </row>
    <row r="936" ht="15.75" customHeight="1">
      <c r="A936" s="142"/>
      <c r="B936" s="142"/>
      <c r="C936" s="142"/>
      <c r="D936" s="142"/>
      <c r="E936" s="142"/>
      <c r="F936" s="142"/>
    </row>
    <row r="937" ht="15.75" customHeight="1">
      <c r="A937" s="142"/>
      <c r="B937" s="142"/>
      <c r="C937" s="142"/>
      <c r="D937" s="142"/>
      <c r="E937" s="142"/>
      <c r="F937" s="142"/>
    </row>
    <row r="938" ht="15.75" customHeight="1">
      <c r="A938" s="142"/>
      <c r="B938" s="142"/>
      <c r="C938" s="142"/>
      <c r="D938" s="142"/>
      <c r="E938" s="142"/>
      <c r="F938" s="142"/>
    </row>
    <row r="939" ht="15.75" customHeight="1">
      <c r="A939" s="142"/>
      <c r="B939" s="142"/>
      <c r="C939" s="142"/>
      <c r="D939" s="142"/>
      <c r="E939" s="142"/>
      <c r="F939" s="142"/>
    </row>
    <row r="940" ht="15.75" customHeight="1">
      <c r="A940" s="142"/>
      <c r="B940" s="142"/>
      <c r="C940" s="142"/>
      <c r="D940" s="142"/>
      <c r="E940" s="142"/>
      <c r="F940" s="142"/>
    </row>
    <row r="941" ht="15.75" customHeight="1">
      <c r="A941" s="142"/>
      <c r="B941" s="142"/>
      <c r="C941" s="142"/>
      <c r="D941" s="142"/>
      <c r="E941" s="142"/>
      <c r="F941" s="142"/>
    </row>
    <row r="942" ht="15.75" customHeight="1">
      <c r="A942" s="142"/>
      <c r="B942" s="142"/>
      <c r="C942" s="142"/>
      <c r="D942" s="142"/>
      <c r="E942" s="142"/>
      <c r="F942" s="142"/>
    </row>
    <row r="943" ht="15.75" customHeight="1">
      <c r="A943" s="142"/>
      <c r="B943" s="142"/>
      <c r="C943" s="142"/>
      <c r="D943" s="142"/>
      <c r="E943" s="142"/>
      <c r="F943" s="142"/>
    </row>
    <row r="944" ht="15.75" customHeight="1">
      <c r="A944" s="142"/>
      <c r="B944" s="142"/>
      <c r="C944" s="142"/>
      <c r="D944" s="142"/>
      <c r="E944" s="142"/>
      <c r="F944" s="142"/>
    </row>
    <row r="945" ht="15.75" customHeight="1">
      <c r="A945" s="142"/>
      <c r="B945" s="142"/>
      <c r="C945" s="142"/>
      <c r="D945" s="142"/>
      <c r="E945" s="142"/>
      <c r="F945" s="142"/>
    </row>
    <row r="946" ht="15.75" customHeight="1">
      <c r="A946" s="142"/>
      <c r="B946" s="142"/>
      <c r="C946" s="142"/>
      <c r="D946" s="142"/>
      <c r="E946" s="142"/>
      <c r="F946" s="142"/>
    </row>
    <row r="947" ht="15.75" customHeight="1">
      <c r="A947" s="142"/>
      <c r="B947" s="142"/>
      <c r="C947" s="142"/>
      <c r="D947" s="142"/>
      <c r="E947" s="142"/>
      <c r="F947" s="142"/>
    </row>
    <row r="948" ht="15.75" customHeight="1">
      <c r="A948" s="142"/>
      <c r="B948" s="142"/>
      <c r="C948" s="142"/>
      <c r="D948" s="142"/>
      <c r="E948" s="142"/>
      <c r="F948" s="142"/>
    </row>
    <row r="949" ht="15.75" customHeight="1">
      <c r="A949" s="142"/>
      <c r="B949" s="142"/>
      <c r="C949" s="142"/>
      <c r="D949" s="142"/>
      <c r="E949" s="142"/>
      <c r="F949" s="142"/>
    </row>
    <row r="950" ht="15.75" customHeight="1">
      <c r="A950" s="142"/>
      <c r="B950" s="142"/>
      <c r="C950" s="142"/>
      <c r="D950" s="142"/>
      <c r="E950" s="142"/>
      <c r="F950" s="142"/>
    </row>
    <row r="951" ht="15.75" customHeight="1">
      <c r="A951" s="142"/>
      <c r="B951" s="142"/>
      <c r="C951" s="142"/>
      <c r="D951" s="142"/>
      <c r="E951" s="142"/>
      <c r="F951" s="142"/>
    </row>
    <row r="952" ht="15.75" customHeight="1">
      <c r="A952" s="142"/>
      <c r="B952" s="142"/>
      <c r="C952" s="142"/>
      <c r="D952" s="142"/>
      <c r="E952" s="142"/>
      <c r="F952" s="142"/>
    </row>
    <row r="953" ht="15.75" customHeight="1">
      <c r="A953" s="142"/>
      <c r="B953" s="142"/>
      <c r="C953" s="142"/>
      <c r="D953" s="142"/>
      <c r="E953" s="142"/>
      <c r="F953" s="142"/>
    </row>
    <row r="954" ht="15.75" customHeight="1">
      <c r="A954" s="142"/>
      <c r="B954" s="142"/>
      <c r="C954" s="142"/>
      <c r="D954" s="142"/>
      <c r="E954" s="142"/>
      <c r="F954" s="142"/>
    </row>
    <row r="955" ht="15.75" customHeight="1">
      <c r="A955" s="142"/>
      <c r="B955" s="142"/>
      <c r="C955" s="142"/>
      <c r="D955" s="142"/>
      <c r="E955" s="142"/>
      <c r="F955" s="142"/>
    </row>
    <row r="956" ht="15.75" customHeight="1">
      <c r="A956" s="142"/>
      <c r="B956" s="142"/>
      <c r="C956" s="142"/>
      <c r="D956" s="142"/>
      <c r="E956" s="142"/>
      <c r="F956" s="142"/>
    </row>
    <row r="957" ht="15.75" customHeight="1">
      <c r="A957" s="142"/>
      <c r="B957" s="142"/>
      <c r="C957" s="142"/>
      <c r="D957" s="142"/>
      <c r="E957" s="142"/>
      <c r="F957" s="142"/>
    </row>
    <row r="958" ht="15.75" customHeight="1">
      <c r="A958" s="142"/>
      <c r="B958" s="142"/>
      <c r="C958" s="142"/>
      <c r="D958" s="142"/>
      <c r="E958" s="142"/>
      <c r="F958" s="142"/>
    </row>
    <row r="959" ht="15.75" customHeight="1">
      <c r="A959" s="142"/>
      <c r="B959" s="142"/>
      <c r="C959" s="142"/>
      <c r="D959" s="142"/>
      <c r="E959" s="142"/>
      <c r="F959" s="142"/>
    </row>
    <row r="960" ht="15.75" customHeight="1">
      <c r="A960" s="142"/>
      <c r="B960" s="142"/>
      <c r="C960" s="142"/>
      <c r="D960" s="142"/>
      <c r="E960" s="142"/>
      <c r="F960" s="142"/>
    </row>
    <row r="961" ht="15.75" customHeight="1">
      <c r="A961" s="142"/>
      <c r="B961" s="142"/>
      <c r="C961" s="142"/>
      <c r="D961" s="142"/>
      <c r="E961" s="142"/>
      <c r="F961" s="142"/>
    </row>
    <row r="962" ht="15.75" customHeight="1">
      <c r="A962" s="142"/>
      <c r="B962" s="142"/>
      <c r="C962" s="142"/>
      <c r="D962" s="142"/>
      <c r="E962" s="142"/>
      <c r="F962" s="142"/>
    </row>
    <row r="963" ht="15.75" customHeight="1">
      <c r="A963" s="142"/>
      <c r="B963" s="142"/>
      <c r="C963" s="142"/>
      <c r="D963" s="142"/>
      <c r="E963" s="142"/>
      <c r="F963" s="142"/>
    </row>
    <row r="964" ht="15.75" customHeight="1">
      <c r="A964" s="142"/>
      <c r="B964" s="142"/>
      <c r="C964" s="142"/>
      <c r="D964" s="142"/>
      <c r="E964" s="142"/>
      <c r="F964" s="142"/>
    </row>
    <row r="965" ht="15.75" customHeight="1">
      <c r="A965" s="142"/>
      <c r="B965" s="142"/>
      <c r="C965" s="142"/>
      <c r="D965" s="142"/>
      <c r="E965" s="142"/>
      <c r="F965" s="142"/>
    </row>
    <row r="966" ht="15.75" customHeight="1">
      <c r="A966" s="142"/>
      <c r="B966" s="142"/>
      <c r="C966" s="142"/>
      <c r="D966" s="142"/>
      <c r="E966" s="142"/>
      <c r="F966" s="142"/>
    </row>
    <row r="967" ht="15.75" customHeight="1">
      <c r="A967" s="142"/>
      <c r="B967" s="142"/>
      <c r="C967" s="142"/>
      <c r="D967" s="142"/>
      <c r="E967" s="142"/>
      <c r="F967" s="142"/>
    </row>
    <row r="968" ht="15.75" customHeight="1">
      <c r="A968" s="142"/>
      <c r="B968" s="142"/>
      <c r="C968" s="142"/>
      <c r="D968" s="142"/>
      <c r="E968" s="142"/>
      <c r="F968" s="142"/>
    </row>
    <row r="969" ht="15.75" customHeight="1">
      <c r="A969" s="142"/>
      <c r="B969" s="142"/>
      <c r="C969" s="142"/>
      <c r="D969" s="142"/>
      <c r="E969" s="142"/>
      <c r="F969" s="142"/>
    </row>
    <row r="970" ht="15.75" customHeight="1">
      <c r="A970" s="142"/>
      <c r="B970" s="142"/>
      <c r="C970" s="142"/>
      <c r="D970" s="142"/>
      <c r="E970" s="142"/>
      <c r="F970" s="142"/>
    </row>
    <row r="971" ht="15.75" customHeight="1">
      <c r="A971" s="142"/>
      <c r="B971" s="142"/>
      <c r="C971" s="142"/>
      <c r="D971" s="142"/>
      <c r="E971" s="142"/>
      <c r="F971" s="142"/>
    </row>
    <row r="972" ht="15.75" customHeight="1">
      <c r="A972" s="142"/>
      <c r="B972" s="142"/>
      <c r="C972" s="142"/>
      <c r="D972" s="142"/>
      <c r="E972" s="142"/>
      <c r="F972" s="142"/>
    </row>
    <row r="973" ht="15.75" customHeight="1">
      <c r="A973" s="142"/>
      <c r="B973" s="142"/>
      <c r="C973" s="142"/>
      <c r="D973" s="142"/>
      <c r="E973" s="142"/>
      <c r="F973" s="142"/>
    </row>
    <row r="974" ht="15.75" customHeight="1">
      <c r="A974" s="142"/>
      <c r="B974" s="142"/>
      <c r="C974" s="142"/>
      <c r="D974" s="142"/>
      <c r="E974" s="142"/>
      <c r="F974" s="142"/>
    </row>
    <row r="975" ht="15.75" customHeight="1">
      <c r="A975" s="142"/>
      <c r="B975" s="142"/>
      <c r="C975" s="142"/>
      <c r="D975" s="142"/>
      <c r="E975" s="142"/>
      <c r="F975" s="142"/>
    </row>
    <row r="976" ht="15.75" customHeight="1">
      <c r="A976" s="142"/>
      <c r="B976" s="142"/>
      <c r="C976" s="142"/>
      <c r="D976" s="142"/>
      <c r="E976" s="142"/>
      <c r="F976" s="142"/>
    </row>
    <row r="977" ht="15.75" customHeight="1">
      <c r="A977" s="142"/>
      <c r="B977" s="142"/>
      <c r="C977" s="142"/>
      <c r="D977" s="142"/>
      <c r="E977" s="142"/>
      <c r="F977" s="142"/>
    </row>
    <row r="978" ht="15.75" customHeight="1">
      <c r="A978" s="142"/>
      <c r="B978" s="142"/>
      <c r="C978" s="142"/>
      <c r="D978" s="142"/>
      <c r="E978" s="142"/>
      <c r="F978" s="142"/>
    </row>
    <row r="979" ht="15.75" customHeight="1">
      <c r="A979" s="142"/>
      <c r="B979" s="142"/>
      <c r="C979" s="142"/>
      <c r="D979" s="142"/>
      <c r="E979" s="142"/>
      <c r="F979" s="142"/>
    </row>
    <row r="980" ht="15.75" customHeight="1">
      <c r="A980" s="142"/>
      <c r="B980" s="142"/>
      <c r="C980" s="142"/>
      <c r="D980" s="142"/>
      <c r="E980" s="142"/>
      <c r="F980" s="142"/>
    </row>
    <row r="981" ht="15.75" customHeight="1">
      <c r="A981" s="142"/>
      <c r="B981" s="142"/>
      <c r="C981" s="142"/>
      <c r="D981" s="142"/>
      <c r="E981" s="142"/>
      <c r="F981" s="142"/>
    </row>
    <row r="982" ht="15.75" customHeight="1">
      <c r="A982" s="142"/>
      <c r="B982" s="142"/>
      <c r="C982" s="142"/>
      <c r="D982" s="142"/>
      <c r="E982" s="142"/>
      <c r="F982" s="142"/>
    </row>
    <row r="983" ht="15.75" customHeight="1">
      <c r="A983" s="142"/>
      <c r="B983" s="142"/>
      <c r="C983" s="142"/>
      <c r="D983" s="142"/>
      <c r="E983" s="142"/>
      <c r="F983" s="142"/>
    </row>
    <row r="984" ht="15.75" customHeight="1">
      <c r="A984" s="142"/>
      <c r="B984" s="142"/>
      <c r="C984" s="142"/>
      <c r="D984" s="142"/>
      <c r="E984" s="142"/>
      <c r="F984" s="142"/>
    </row>
    <row r="985" ht="15.75" customHeight="1">
      <c r="A985" s="142"/>
      <c r="B985" s="142"/>
      <c r="C985" s="142"/>
      <c r="D985" s="142"/>
      <c r="E985" s="142"/>
      <c r="F985" s="142"/>
    </row>
    <row r="986" ht="15.75" customHeight="1">
      <c r="A986" s="142"/>
      <c r="B986" s="142"/>
      <c r="C986" s="142"/>
      <c r="D986" s="142"/>
      <c r="E986" s="142"/>
      <c r="F986" s="142"/>
    </row>
    <row r="987" ht="15.75" customHeight="1">
      <c r="A987" s="142"/>
      <c r="B987" s="142"/>
      <c r="C987" s="142"/>
      <c r="D987" s="142"/>
      <c r="E987" s="142"/>
      <c r="F987" s="142"/>
    </row>
    <row r="988" ht="15.75" customHeight="1">
      <c r="A988" s="142"/>
      <c r="B988" s="142"/>
      <c r="C988" s="142"/>
      <c r="D988" s="142"/>
      <c r="E988" s="142"/>
      <c r="F988" s="142"/>
    </row>
    <row r="989" ht="15.75" customHeight="1">
      <c r="A989" s="142"/>
      <c r="B989" s="142"/>
      <c r="C989" s="142"/>
      <c r="D989" s="142"/>
      <c r="E989" s="142"/>
      <c r="F989" s="142"/>
    </row>
    <row r="990" ht="15.75" customHeight="1">
      <c r="A990" s="142"/>
      <c r="B990" s="142"/>
      <c r="C990" s="142"/>
      <c r="D990" s="142"/>
      <c r="E990" s="142"/>
      <c r="F990" s="142"/>
    </row>
    <row r="991" ht="15.75" customHeight="1">
      <c r="A991" s="142"/>
      <c r="B991" s="142"/>
      <c r="C991" s="142"/>
      <c r="D991" s="142"/>
      <c r="E991" s="142"/>
      <c r="F991" s="142"/>
    </row>
    <row r="992" ht="15.75" customHeight="1">
      <c r="A992" s="142"/>
      <c r="B992" s="142"/>
      <c r="C992" s="142"/>
      <c r="D992" s="142"/>
      <c r="E992" s="142"/>
      <c r="F992" s="142"/>
    </row>
    <row r="993" ht="15.75" customHeight="1">
      <c r="A993" s="142"/>
      <c r="B993" s="142"/>
      <c r="C993" s="142"/>
      <c r="D993" s="142"/>
      <c r="E993" s="142"/>
      <c r="F993" s="142"/>
    </row>
    <row r="994" ht="15.75" customHeight="1">
      <c r="A994" s="142"/>
      <c r="B994" s="142"/>
      <c r="C994" s="142"/>
      <c r="D994" s="142"/>
      <c r="E994" s="142"/>
      <c r="F994" s="142"/>
    </row>
    <row r="995" ht="15.75" customHeight="1">
      <c r="A995" s="142"/>
      <c r="B995" s="142"/>
      <c r="C995" s="142"/>
      <c r="D995" s="142"/>
      <c r="E995" s="142"/>
      <c r="F995" s="142"/>
    </row>
    <row r="996" ht="15.75" customHeight="1">
      <c r="A996" s="142"/>
      <c r="B996" s="142"/>
      <c r="C996" s="142"/>
      <c r="D996" s="142"/>
      <c r="E996" s="142"/>
      <c r="F996" s="142"/>
    </row>
    <row r="997" ht="15.75" customHeight="1">
      <c r="A997" s="142"/>
      <c r="B997" s="142"/>
      <c r="C997" s="142"/>
      <c r="D997" s="142"/>
      <c r="E997" s="142"/>
      <c r="F997" s="142"/>
    </row>
    <row r="998" ht="15.75" customHeight="1">
      <c r="A998" s="142"/>
      <c r="B998" s="142"/>
      <c r="C998" s="142"/>
      <c r="D998" s="142"/>
      <c r="E998" s="142"/>
      <c r="F998" s="142"/>
    </row>
    <row r="999" ht="15.75" customHeight="1">
      <c r="A999" s="142"/>
      <c r="B999" s="142"/>
      <c r="C999" s="142"/>
      <c r="D999" s="142"/>
      <c r="E999" s="142"/>
      <c r="F999" s="142"/>
    </row>
    <row r="1000" ht="15.75" customHeight="1">
      <c r="A1000" s="142"/>
      <c r="B1000" s="142"/>
      <c r="C1000" s="142"/>
      <c r="D1000" s="142"/>
      <c r="E1000" s="142"/>
      <c r="F1000" s="14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7" width="16.0"/>
    <col customWidth="1" min="8" max="8" width="18.0"/>
  </cols>
  <sheetData>
    <row r="1" ht="21.75" customHeight="1">
      <c r="A1" s="143" t="s">
        <v>249</v>
      </c>
      <c r="B1" s="42"/>
      <c r="C1" s="42"/>
      <c r="D1" s="42"/>
      <c r="E1" s="42"/>
      <c r="F1" s="42"/>
      <c r="G1" s="42"/>
      <c r="H1" s="27"/>
      <c r="I1" s="1"/>
      <c r="J1" s="3" t="s">
        <v>0</v>
      </c>
      <c r="K1" s="4"/>
      <c r="L1" s="3" t="s">
        <v>1</v>
      </c>
      <c r="M1" s="4"/>
      <c r="N1" s="3" t="s">
        <v>2</v>
      </c>
      <c r="O1" s="4"/>
      <c r="P1" s="3" t="s">
        <v>3</v>
      </c>
      <c r="Q1" s="4"/>
      <c r="R1" s="5" t="s">
        <v>4</v>
      </c>
      <c r="S1" s="4"/>
      <c r="T1" s="3" t="s">
        <v>5</v>
      </c>
      <c r="U1" s="4"/>
      <c r="V1" s="3" t="s">
        <v>6</v>
      </c>
      <c r="W1" s="4"/>
      <c r="X1" s="3" t="s">
        <v>7</v>
      </c>
      <c r="Y1" s="4"/>
      <c r="Z1" s="3" t="s">
        <v>8</v>
      </c>
      <c r="AA1" s="4"/>
    </row>
    <row r="2" ht="18.0" customHeight="1">
      <c r="A2" s="1"/>
      <c r="B2" s="144" t="s">
        <v>250</v>
      </c>
      <c r="C2" s="144" t="s">
        <v>107</v>
      </c>
      <c r="D2" s="1"/>
      <c r="E2" s="1"/>
      <c r="F2" s="1"/>
      <c r="G2" s="1"/>
      <c r="H2" s="1"/>
      <c r="I2" s="1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7"/>
      <c r="Y2" s="8"/>
      <c r="Z2" s="7"/>
      <c r="AA2" s="8"/>
    </row>
    <row r="3" ht="14.25" customHeight="1">
      <c r="B3" s="1">
        <v>3.0</v>
      </c>
      <c r="C3" s="1">
        <v>2026.0</v>
      </c>
      <c r="D3" s="145"/>
      <c r="E3" s="145"/>
      <c r="F3" s="145"/>
      <c r="G3" s="145"/>
      <c r="H3" s="145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4.25" customHeight="1">
      <c r="A4" s="146" t="s">
        <v>251</v>
      </c>
      <c r="B4" s="146" t="s">
        <v>252</v>
      </c>
      <c r="C4" s="146" t="s">
        <v>253</v>
      </c>
      <c r="D4" s="146" t="s">
        <v>254</v>
      </c>
      <c r="E4" s="146" t="s">
        <v>255</v>
      </c>
      <c r="F4" s="146" t="s">
        <v>256</v>
      </c>
      <c r="G4" s="146" t="s">
        <v>257</v>
      </c>
      <c r="H4" s="146" t="s">
        <v>258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20" t="s">
        <v>259</v>
      </c>
      <c r="B5" s="147">
        <v>0.0</v>
      </c>
      <c r="C5" s="147">
        <v>0.0</v>
      </c>
      <c r="D5" s="147">
        <v>0.0</v>
      </c>
      <c r="E5" s="148">
        <v>0.0</v>
      </c>
      <c r="F5" s="148">
        <v>0.0</v>
      </c>
      <c r="G5" s="147">
        <v>0.0</v>
      </c>
      <c r="H5" s="120" t="s">
        <v>260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20" t="s">
        <v>261</v>
      </c>
      <c r="B6" s="147">
        <v>0.0</v>
      </c>
      <c r="C6" s="147">
        <v>0.0</v>
      </c>
      <c r="D6" s="147">
        <v>0.0</v>
      </c>
      <c r="E6" s="148">
        <v>0.0</v>
      </c>
      <c r="F6" s="148">
        <v>0.0</v>
      </c>
      <c r="G6" s="147">
        <v>0.0</v>
      </c>
      <c r="H6" s="120" t="s">
        <v>260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20" t="s">
        <v>262</v>
      </c>
      <c r="B7" s="147">
        <v>0.0</v>
      </c>
      <c r="C7" s="147">
        <v>0.0</v>
      </c>
      <c r="D7" s="147">
        <v>0.0</v>
      </c>
      <c r="E7" s="148">
        <v>0.0</v>
      </c>
      <c r="F7" s="148">
        <v>0.0</v>
      </c>
      <c r="G7" s="147">
        <v>0.0</v>
      </c>
      <c r="H7" s="120" t="s">
        <v>260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20" t="s">
        <v>263</v>
      </c>
      <c r="B8" s="147">
        <v>0.0</v>
      </c>
      <c r="C8" s="147">
        <v>0.0</v>
      </c>
      <c r="D8" s="147">
        <v>0.0</v>
      </c>
      <c r="E8" s="148">
        <v>0.0</v>
      </c>
      <c r="F8" s="148">
        <v>0.0</v>
      </c>
      <c r="G8" s="147">
        <v>0.0</v>
      </c>
      <c r="H8" s="120" t="s">
        <v>260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20" t="s">
        <v>264</v>
      </c>
      <c r="B9" s="147">
        <v>0.0</v>
      </c>
      <c r="C9" s="147">
        <v>0.0</v>
      </c>
      <c r="D9" s="147">
        <v>0.0</v>
      </c>
      <c r="E9" s="148">
        <v>0.0</v>
      </c>
      <c r="F9" s="148">
        <v>0.0</v>
      </c>
      <c r="G9" s="147">
        <v>0.0</v>
      </c>
      <c r="H9" s="120" t="s">
        <v>260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20" t="s">
        <v>265</v>
      </c>
      <c r="B10" s="147">
        <v>0.0</v>
      </c>
      <c r="C10" s="147">
        <v>0.0</v>
      </c>
      <c r="D10" s="147">
        <v>0.0</v>
      </c>
      <c r="E10" s="148">
        <v>0.0</v>
      </c>
      <c r="F10" s="148">
        <v>0.0</v>
      </c>
      <c r="G10" s="147">
        <v>0.0</v>
      </c>
      <c r="H10" s="120" t="s">
        <v>260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20" t="s">
        <v>266</v>
      </c>
      <c r="B11" s="147">
        <v>0.0</v>
      </c>
      <c r="C11" s="147">
        <v>0.0</v>
      </c>
      <c r="D11" s="147">
        <v>0.0</v>
      </c>
      <c r="E11" s="148">
        <v>0.0</v>
      </c>
      <c r="F11" s="148">
        <v>0.0</v>
      </c>
      <c r="G11" s="147">
        <v>0.0</v>
      </c>
      <c r="H11" s="120" t="s">
        <v>260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20" t="s">
        <v>267</v>
      </c>
      <c r="B12" s="147">
        <v>0.0</v>
      </c>
      <c r="C12" s="147">
        <v>0.0</v>
      </c>
      <c r="D12" s="147">
        <v>0.0</v>
      </c>
      <c r="E12" s="148">
        <v>0.0</v>
      </c>
      <c r="F12" s="148">
        <v>0.0</v>
      </c>
      <c r="G12" s="147">
        <v>0.0</v>
      </c>
      <c r="H12" s="120" t="s">
        <v>260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20" t="s">
        <v>268</v>
      </c>
      <c r="B13" s="147">
        <v>0.0</v>
      </c>
      <c r="C13" s="147">
        <v>0.0</v>
      </c>
      <c r="D13" s="147">
        <v>0.0</v>
      </c>
      <c r="E13" s="148">
        <v>0.0</v>
      </c>
      <c r="F13" s="148">
        <v>0.0</v>
      </c>
      <c r="G13" s="147">
        <v>0.0</v>
      </c>
      <c r="H13" s="120" t="s">
        <v>260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20" t="s">
        <v>269</v>
      </c>
      <c r="B14" s="147">
        <v>0.0</v>
      </c>
      <c r="C14" s="147">
        <v>0.0</v>
      </c>
      <c r="D14" s="147">
        <v>0.0</v>
      </c>
      <c r="E14" s="148">
        <v>0.0</v>
      </c>
      <c r="F14" s="148">
        <v>0.0</v>
      </c>
      <c r="G14" s="147">
        <v>0.0</v>
      </c>
      <c r="H14" s="120" t="s">
        <v>260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20" t="s">
        <v>270</v>
      </c>
      <c r="B15" s="147">
        <v>0.0</v>
      </c>
      <c r="C15" s="147">
        <v>0.0</v>
      </c>
      <c r="D15" s="147">
        <v>0.0</v>
      </c>
      <c r="E15" s="148">
        <v>0.0</v>
      </c>
      <c r="F15" s="148">
        <v>0.0</v>
      </c>
      <c r="G15" s="147">
        <v>0.0</v>
      </c>
      <c r="H15" s="120" t="s">
        <v>260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20" t="s">
        <v>271</v>
      </c>
      <c r="B16" s="147">
        <v>0.0</v>
      </c>
      <c r="C16" s="147">
        <v>0.0</v>
      </c>
      <c r="D16" s="147">
        <v>0.0</v>
      </c>
      <c r="E16" s="148">
        <v>0.0</v>
      </c>
      <c r="F16" s="148">
        <v>0.0</v>
      </c>
      <c r="G16" s="147">
        <v>0.0</v>
      </c>
      <c r="H16" s="120" t="s">
        <v>260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20" t="s">
        <v>272</v>
      </c>
      <c r="B17" s="147">
        <v>0.0</v>
      </c>
      <c r="C17" s="147">
        <v>0.0</v>
      </c>
      <c r="D17" s="147">
        <v>0.0</v>
      </c>
      <c r="E17" s="148">
        <v>0.0</v>
      </c>
      <c r="F17" s="148">
        <v>0.0</v>
      </c>
      <c r="G17" s="147">
        <v>0.0</v>
      </c>
      <c r="H17" s="120" t="s">
        <v>260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20" t="s">
        <v>273</v>
      </c>
      <c r="B18" s="147">
        <v>0.0</v>
      </c>
      <c r="C18" s="147">
        <v>0.0</v>
      </c>
      <c r="D18" s="147">
        <v>0.0</v>
      </c>
      <c r="E18" s="148">
        <v>0.0</v>
      </c>
      <c r="F18" s="148">
        <v>0.0</v>
      </c>
      <c r="G18" s="147">
        <v>0.0</v>
      </c>
      <c r="H18" s="120" t="s">
        <v>260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20" t="s">
        <v>274</v>
      </c>
      <c r="B19" s="147">
        <v>0.0</v>
      </c>
      <c r="C19" s="147">
        <v>0.0</v>
      </c>
      <c r="D19" s="147">
        <v>0.0</v>
      </c>
      <c r="E19" s="148">
        <v>0.0</v>
      </c>
      <c r="F19" s="148">
        <v>0.0</v>
      </c>
      <c r="G19" s="147">
        <v>0.0</v>
      </c>
      <c r="H19" s="120" t="s">
        <v>260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20" t="s">
        <v>275</v>
      </c>
      <c r="B20" s="147">
        <v>0.0</v>
      </c>
      <c r="C20" s="147">
        <v>0.0</v>
      </c>
      <c r="D20" s="147">
        <v>0.0</v>
      </c>
      <c r="E20" s="148">
        <v>0.0</v>
      </c>
      <c r="F20" s="148">
        <v>0.0</v>
      </c>
      <c r="G20" s="147">
        <v>0.0</v>
      </c>
      <c r="H20" s="120" t="s">
        <v>260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20" t="s">
        <v>276</v>
      </c>
      <c r="B21" s="147">
        <v>0.0</v>
      </c>
      <c r="C21" s="147">
        <v>0.0</v>
      </c>
      <c r="D21" s="147">
        <v>0.0</v>
      </c>
      <c r="E21" s="148">
        <v>0.0</v>
      </c>
      <c r="F21" s="148">
        <v>0.0</v>
      </c>
      <c r="G21" s="147">
        <v>0.0</v>
      </c>
      <c r="H21" s="120" t="s">
        <v>260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20" t="s">
        <v>277</v>
      </c>
      <c r="B22" s="147">
        <v>0.0</v>
      </c>
      <c r="C22" s="147">
        <v>0.0</v>
      </c>
      <c r="D22" s="147">
        <v>0.0</v>
      </c>
      <c r="E22" s="148">
        <v>0.0</v>
      </c>
      <c r="F22" s="148">
        <v>0.0</v>
      </c>
      <c r="G22" s="147">
        <v>0.0</v>
      </c>
      <c r="H22" s="120" t="s">
        <v>260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49" t="s">
        <v>278</v>
      </c>
      <c r="B23" s="147">
        <v>0.0</v>
      </c>
      <c r="C23" s="147">
        <v>0.0</v>
      </c>
      <c r="D23" s="147">
        <v>0.0</v>
      </c>
      <c r="E23" s="148">
        <v>0.0</v>
      </c>
      <c r="F23" s="148">
        <v>0.0</v>
      </c>
      <c r="G23" s="147">
        <v>0.0</v>
      </c>
      <c r="H23" s="120" t="s">
        <v>260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20" t="s">
        <v>279</v>
      </c>
      <c r="B24" s="147">
        <v>0.0</v>
      </c>
      <c r="C24" s="147">
        <v>0.0</v>
      </c>
      <c r="D24" s="147">
        <v>0.0</v>
      </c>
      <c r="E24" s="148">
        <v>0.0</v>
      </c>
      <c r="F24" s="148">
        <v>0.0</v>
      </c>
      <c r="G24" s="147">
        <v>0.0</v>
      </c>
      <c r="H24" s="120" t="s">
        <v>260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49" t="s">
        <v>280</v>
      </c>
      <c r="B25" s="147">
        <v>0.0</v>
      </c>
      <c r="C25" s="147">
        <v>0.0</v>
      </c>
      <c r="D25" s="147">
        <v>0.0</v>
      </c>
      <c r="E25" s="148">
        <v>0.0</v>
      </c>
      <c r="F25" s="148">
        <v>0.0</v>
      </c>
      <c r="G25" s="147">
        <v>0.0</v>
      </c>
      <c r="H25" s="120" t="s">
        <v>260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20" t="s">
        <v>281</v>
      </c>
      <c r="B26" s="147">
        <v>0.0</v>
      </c>
      <c r="C26" s="147">
        <v>0.0</v>
      </c>
      <c r="D26" s="147">
        <v>0.0</v>
      </c>
      <c r="E26" s="148">
        <v>0.0</v>
      </c>
      <c r="F26" s="148">
        <v>0.0</v>
      </c>
      <c r="G26" s="147">
        <v>0.0</v>
      </c>
      <c r="H26" s="120" t="s">
        <v>260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49" t="s">
        <v>282</v>
      </c>
      <c r="B27" s="147">
        <v>0.0</v>
      </c>
      <c r="C27" s="147">
        <v>0.0</v>
      </c>
      <c r="D27" s="147">
        <v>0.0</v>
      </c>
      <c r="E27" s="148">
        <v>0.0</v>
      </c>
      <c r="F27" s="148">
        <v>0.0</v>
      </c>
      <c r="G27" s="147">
        <v>0.0</v>
      </c>
      <c r="H27" s="120" t="s">
        <v>260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20" t="s">
        <v>283</v>
      </c>
      <c r="B28" s="147">
        <v>0.0</v>
      </c>
      <c r="C28" s="147">
        <v>0.0</v>
      </c>
      <c r="D28" s="147">
        <v>0.0</v>
      </c>
      <c r="E28" s="148">
        <v>0.0</v>
      </c>
      <c r="F28" s="148">
        <v>0.0</v>
      </c>
      <c r="G28" s="147">
        <v>0.0</v>
      </c>
      <c r="H28" s="120" t="s">
        <v>260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49" t="s">
        <v>138</v>
      </c>
      <c r="B29" s="147">
        <v>3.0</v>
      </c>
      <c r="C29" s="147">
        <v>1.0</v>
      </c>
      <c r="D29" s="147">
        <v>2.0</v>
      </c>
      <c r="E29" s="148">
        <v>285000.0</v>
      </c>
      <c r="F29" s="148">
        <v>0.0</v>
      </c>
      <c r="G29" s="147">
        <v>3.0</v>
      </c>
      <c r="H29" s="120" t="s">
        <v>260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20" t="s">
        <v>156</v>
      </c>
      <c r="B30" s="147">
        <v>1.0</v>
      </c>
      <c r="C30" s="147">
        <v>0.0</v>
      </c>
      <c r="D30" s="147">
        <v>1.0</v>
      </c>
      <c r="E30" s="148">
        <v>85000.0</v>
      </c>
      <c r="F30" s="148">
        <v>0.0</v>
      </c>
      <c r="G30" s="147">
        <v>1.0</v>
      </c>
      <c r="H30" s="120" t="s">
        <v>260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49" t="s">
        <v>284</v>
      </c>
      <c r="B31" s="147">
        <v>0.0</v>
      </c>
      <c r="C31" s="147">
        <v>0.0</v>
      </c>
      <c r="D31" s="147">
        <v>0.0</v>
      </c>
      <c r="E31" s="148">
        <v>0.0</v>
      </c>
      <c r="F31" s="148">
        <v>0.0</v>
      </c>
      <c r="G31" s="147">
        <v>0.0</v>
      </c>
      <c r="H31" s="120" t="s">
        <v>260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20" t="s">
        <v>285</v>
      </c>
      <c r="B32" s="147">
        <v>0.0</v>
      </c>
      <c r="C32" s="147">
        <v>0.0</v>
      </c>
      <c r="D32" s="147">
        <v>0.0</v>
      </c>
      <c r="E32" s="148">
        <v>0.0</v>
      </c>
      <c r="F32" s="148">
        <v>0.0</v>
      </c>
      <c r="G32" s="147">
        <v>0.0</v>
      </c>
      <c r="H32" s="120" t="s">
        <v>260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20" t="s">
        <v>286</v>
      </c>
      <c r="B33" s="147">
        <v>0.0</v>
      </c>
      <c r="C33" s="147">
        <v>0.0</v>
      </c>
      <c r="D33" s="147">
        <v>0.0</v>
      </c>
      <c r="E33" s="148">
        <v>0.0</v>
      </c>
      <c r="F33" s="148">
        <v>0.0</v>
      </c>
      <c r="G33" s="147">
        <v>0.0</v>
      </c>
      <c r="H33" s="120" t="s">
        <v>260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20" t="s">
        <v>287</v>
      </c>
      <c r="B34" s="147">
        <v>0.0</v>
      </c>
      <c r="C34" s="147">
        <v>0.0</v>
      </c>
      <c r="D34" s="147">
        <v>0.0</v>
      </c>
      <c r="E34" s="148">
        <v>0.0</v>
      </c>
      <c r="F34" s="148">
        <v>0.0</v>
      </c>
      <c r="G34" s="147">
        <v>0.0</v>
      </c>
      <c r="H34" s="120" t="s">
        <v>260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20" t="s">
        <v>288</v>
      </c>
      <c r="B35" s="147">
        <v>0.0</v>
      </c>
      <c r="C35" s="147">
        <v>0.0</v>
      </c>
      <c r="D35" s="147">
        <v>0.0</v>
      </c>
      <c r="E35" s="148">
        <v>0.0</v>
      </c>
      <c r="F35" s="148">
        <v>0.0</v>
      </c>
      <c r="G35" s="147">
        <v>0.0</v>
      </c>
      <c r="H35" s="120" t="s">
        <v>260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"/>
      <c r="B36" s="66"/>
      <c r="C36" s="66"/>
      <c r="D36" s="66"/>
      <c r="E36" s="119"/>
      <c r="F36" s="119"/>
      <c r="G36" s="66"/>
      <c r="H36" s="15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6"/>
      <c r="B37" s="66"/>
      <c r="C37" s="66"/>
      <c r="D37" s="66"/>
      <c r="E37" s="119"/>
      <c r="F37" s="119"/>
      <c r="G37" s="66"/>
      <c r="H37" s="15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6"/>
      <c r="B38" s="66"/>
      <c r="C38" s="66"/>
      <c r="D38" s="66"/>
      <c r="E38" s="119"/>
      <c r="F38" s="119"/>
      <c r="G38" s="66"/>
      <c r="H38" s="15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6"/>
      <c r="B39" s="66"/>
      <c r="C39" s="66"/>
      <c r="D39" s="66"/>
      <c r="E39" s="119"/>
      <c r="F39" s="119"/>
      <c r="G39" s="66"/>
      <c r="H39" s="15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6"/>
      <c r="B40" s="66"/>
      <c r="C40" s="66"/>
      <c r="D40" s="66"/>
      <c r="E40" s="119"/>
      <c r="F40" s="119"/>
      <c r="G40" s="66"/>
      <c r="H40" s="15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6"/>
      <c r="B41" s="66"/>
      <c r="C41" s="66"/>
      <c r="D41" s="66"/>
      <c r="E41" s="119"/>
      <c r="F41" s="119"/>
      <c r="G41" s="66"/>
      <c r="H41" s="15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6"/>
      <c r="B42" s="66"/>
      <c r="C42" s="66"/>
      <c r="D42" s="66"/>
      <c r="E42" s="119"/>
      <c r="F42" s="119"/>
      <c r="G42" s="66"/>
      <c r="H42" s="15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6"/>
      <c r="B43" s="66"/>
      <c r="C43" s="66"/>
      <c r="D43" s="66"/>
      <c r="E43" s="119"/>
      <c r="F43" s="119"/>
      <c r="G43" s="66"/>
      <c r="H43" s="15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"/>
      <c r="B44" s="66"/>
      <c r="C44" s="66"/>
      <c r="D44" s="66"/>
      <c r="E44" s="119"/>
      <c r="F44" s="119"/>
      <c r="G44" s="66"/>
      <c r="H44" s="15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6"/>
      <c r="B45" s="66"/>
      <c r="C45" s="66"/>
      <c r="D45" s="66"/>
      <c r="E45" s="119"/>
      <c r="F45" s="119"/>
      <c r="G45" s="66"/>
      <c r="H45" s="15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6"/>
      <c r="B46" s="66"/>
      <c r="C46" s="66"/>
      <c r="D46" s="66"/>
      <c r="E46" s="119"/>
      <c r="F46" s="119"/>
      <c r="G46" s="66"/>
      <c r="H46" s="15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6"/>
      <c r="B47" s="66"/>
      <c r="C47" s="66"/>
      <c r="D47" s="66"/>
      <c r="E47" s="119"/>
      <c r="F47" s="119"/>
      <c r="G47" s="66"/>
      <c r="H47" s="15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6"/>
      <c r="B48" s="66"/>
      <c r="C48" s="66"/>
      <c r="D48" s="66"/>
      <c r="E48" s="119"/>
      <c r="F48" s="119"/>
      <c r="G48" s="66"/>
      <c r="H48" s="15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6"/>
      <c r="B49" s="66"/>
      <c r="C49" s="66"/>
      <c r="D49" s="66"/>
      <c r="E49" s="119"/>
      <c r="F49" s="119"/>
      <c r="G49" s="66"/>
      <c r="H49" s="15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6"/>
      <c r="B50" s="66"/>
      <c r="C50" s="66"/>
      <c r="D50" s="66"/>
      <c r="E50" s="119"/>
      <c r="F50" s="119"/>
      <c r="G50" s="66"/>
      <c r="H50" s="15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6"/>
      <c r="B51" s="66"/>
      <c r="C51" s="66"/>
      <c r="D51" s="66"/>
      <c r="E51" s="119"/>
      <c r="F51" s="119"/>
      <c r="G51" s="66"/>
      <c r="H51" s="15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51"/>
      <c r="B52" s="66"/>
      <c r="C52" s="66"/>
      <c r="D52" s="66"/>
      <c r="E52" s="119"/>
      <c r="F52" s="119"/>
      <c r="G52" s="66"/>
      <c r="H52" s="15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51"/>
      <c r="B53" s="66"/>
      <c r="C53" s="66"/>
      <c r="D53" s="66"/>
      <c r="E53" s="119"/>
      <c r="F53" s="119"/>
      <c r="G53" s="66"/>
      <c r="H53" s="15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51"/>
      <c r="B54" s="66"/>
      <c r="C54" s="66"/>
      <c r="D54" s="66"/>
      <c r="E54" s="119"/>
      <c r="F54" s="119"/>
      <c r="G54" s="66"/>
      <c r="H54" s="15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51"/>
      <c r="B55" s="66"/>
      <c r="C55" s="66"/>
      <c r="D55" s="66"/>
      <c r="E55" s="119"/>
      <c r="F55" s="119"/>
      <c r="G55" s="66"/>
      <c r="H55" s="15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51"/>
      <c r="B56" s="66"/>
      <c r="C56" s="66"/>
      <c r="D56" s="66"/>
      <c r="E56" s="119"/>
      <c r="F56" s="119"/>
      <c r="G56" s="66"/>
      <c r="H56" s="15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51"/>
      <c r="B57" s="66"/>
      <c r="C57" s="66"/>
      <c r="D57" s="66"/>
      <c r="E57" s="119"/>
      <c r="F57" s="119"/>
      <c r="G57" s="66"/>
      <c r="H57" s="15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51"/>
      <c r="B58" s="66"/>
      <c r="C58" s="66"/>
      <c r="D58" s="66"/>
      <c r="E58" s="119"/>
      <c r="F58" s="119"/>
      <c r="G58" s="66"/>
      <c r="H58" s="15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51"/>
      <c r="B59" s="66"/>
      <c r="C59" s="66"/>
      <c r="D59" s="66"/>
      <c r="E59" s="119"/>
      <c r="F59" s="119"/>
      <c r="G59" s="66"/>
      <c r="H59" s="15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51"/>
      <c r="B60" s="66"/>
      <c r="C60" s="66"/>
      <c r="D60" s="66"/>
      <c r="E60" s="119"/>
      <c r="F60" s="119"/>
      <c r="G60" s="66"/>
      <c r="H60" s="15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51"/>
      <c r="B61" s="66"/>
      <c r="C61" s="66"/>
      <c r="D61" s="66"/>
      <c r="E61" s="119"/>
      <c r="F61" s="119"/>
      <c r="G61" s="66"/>
      <c r="H61" s="15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51"/>
      <c r="B62" s="66"/>
      <c r="C62" s="66"/>
      <c r="D62" s="66"/>
      <c r="E62" s="119"/>
      <c r="F62" s="119"/>
      <c r="G62" s="66"/>
      <c r="H62" s="15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51"/>
      <c r="B63" s="66"/>
      <c r="C63" s="66"/>
      <c r="D63" s="66"/>
      <c r="E63" s="119"/>
      <c r="F63" s="119"/>
      <c r="G63" s="66"/>
      <c r="H63" s="15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6"/>
      <c r="B64" s="66"/>
      <c r="C64" s="66"/>
      <c r="D64" s="66"/>
      <c r="E64" s="119"/>
      <c r="F64" s="119"/>
      <c r="G64" s="66"/>
      <c r="H64" s="15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6"/>
      <c r="B65" s="66"/>
      <c r="C65" s="66"/>
      <c r="D65" s="66"/>
      <c r="E65" s="119"/>
      <c r="F65" s="119"/>
      <c r="G65" s="66"/>
      <c r="H65" s="15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6"/>
      <c r="B66" s="66"/>
      <c r="C66" s="66"/>
      <c r="D66" s="66"/>
      <c r="E66" s="119"/>
      <c r="F66" s="119"/>
      <c r="G66" s="66"/>
      <c r="H66" s="15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6"/>
      <c r="B67" s="66"/>
      <c r="C67" s="66"/>
      <c r="D67" s="66"/>
      <c r="E67" s="119"/>
      <c r="F67" s="119"/>
      <c r="G67" s="66"/>
      <c r="H67" s="15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6"/>
      <c r="B68" s="66"/>
      <c r="C68" s="66"/>
      <c r="D68" s="66"/>
      <c r="E68" s="119"/>
      <c r="F68" s="119"/>
      <c r="G68" s="66"/>
      <c r="H68" s="15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6"/>
      <c r="B69" s="66"/>
      <c r="C69" s="66"/>
      <c r="D69" s="66"/>
      <c r="E69" s="119"/>
      <c r="F69" s="119"/>
      <c r="G69" s="66"/>
      <c r="H69" s="15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6"/>
      <c r="B70" s="66"/>
      <c r="C70" s="66"/>
      <c r="D70" s="66"/>
      <c r="E70" s="119"/>
      <c r="F70" s="119"/>
      <c r="G70" s="66"/>
      <c r="H70" s="15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6"/>
      <c r="B71" s="66"/>
      <c r="C71" s="66"/>
      <c r="D71" s="66"/>
      <c r="E71" s="119"/>
      <c r="F71" s="119"/>
      <c r="G71" s="66"/>
      <c r="H71" s="15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6"/>
      <c r="B72" s="66"/>
      <c r="C72" s="66"/>
      <c r="D72" s="66"/>
      <c r="E72" s="119"/>
      <c r="F72" s="119"/>
      <c r="G72" s="66"/>
      <c r="H72" s="15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6"/>
      <c r="B73" s="66"/>
      <c r="C73" s="66"/>
      <c r="D73" s="66"/>
      <c r="E73" s="119"/>
      <c r="F73" s="119"/>
      <c r="G73" s="66"/>
      <c r="H73" s="15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6"/>
      <c r="B74" s="66"/>
      <c r="C74" s="66"/>
      <c r="D74" s="66"/>
      <c r="E74" s="119"/>
      <c r="F74" s="119"/>
      <c r="G74" s="66"/>
      <c r="H74" s="15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6"/>
      <c r="B75" s="66"/>
      <c r="C75" s="66"/>
      <c r="D75" s="66"/>
      <c r="E75" s="119"/>
      <c r="F75" s="119"/>
      <c r="G75" s="66"/>
      <c r="H75" s="15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6"/>
      <c r="B76" s="66"/>
      <c r="C76" s="66"/>
      <c r="D76" s="66"/>
      <c r="E76" s="119"/>
      <c r="F76" s="119"/>
      <c r="G76" s="66"/>
      <c r="H76" s="15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6"/>
      <c r="B77" s="66"/>
      <c r="C77" s="66"/>
      <c r="D77" s="66"/>
      <c r="E77" s="119"/>
      <c r="F77" s="119"/>
      <c r="G77" s="66"/>
      <c r="H77" s="15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6"/>
      <c r="B78" s="66"/>
      <c r="C78" s="66"/>
      <c r="D78" s="66"/>
      <c r="E78" s="119"/>
      <c r="F78" s="119"/>
      <c r="G78" s="66"/>
      <c r="H78" s="15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6"/>
      <c r="B79" s="66"/>
      <c r="C79" s="66"/>
      <c r="D79" s="66"/>
      <c r="E79" s="119"/>
      <c r="F79" s="119"/>
      <c r="G79" s="66"/>
      <c r="H79" s="15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6"/>
      <c r="B80" s="66"/>
      <c r="C80" s="66"/>
      <c r="D80" s="66"/>
      <c r="E80" s="119"/>
      <c r="F80" s="119"/>
      <c r="G80" s="66"/>
      <c r="H80" s="15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6"/>
      <c r="B81" s="66"/>
      <c r="C81" s="66"/>
      <c r="D81" s="66"/>
      <c r="E81" s="119"/>
      <c r="F81" s="119"/>
      <c r="G81" s="66"/>
      <c r="H81" s="15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51"/>
      <c r="B82" s="66"/>
      <c r="C82" s="66"/>
      <c r="D82" s="66"/>
      <c r="E82" s="119"/>
      <c r="F82" s="119"/>
      <c r="G82" s="66"/>
      <c r="H82" s="15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51"/>
      <c r="B83" s="66"/>
      <c r="C83" s="66"/>
      <c r="D83" s="66"/>
      <c r="E83" s="119"/>
      <c r="F83" s="119"/>
      <c r="G83" s="66"/>
      <c r="H83" s="15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51"/>
      <c r="B84" s="66"/>
      <c r="C84" s="66"/>
      <c r="D84" s="66"/>
      <c r="E84" s="119"/>
      <c r="F84" s="119"/>
      <c r="G84" s="66"/>
      <c r="H84" s="15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51"/>
      <c r="B85" s="66"/>
      <c r="C85" s="66"/>
      <c r="D85" s="66"/>
      <c r="E85" s="119"/>
      <c r="F85" s="119"/>
      <c r="G85" s="66"/>
      <c r="H85" s="15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51"/>
      <c r="B86" s="66"/>
      <c r="C86" s="66"/>
      <c r="D86" s="66"/>
      <c r="E86" s="119"/>
      <c r="F86" s="119"/>
      <c r="G86" s="66"/>
      <c r="H86" s="15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51"/>
      <c r="B87" s="66"/>
      <c r="C87" s="66"/>
      <c r="D87" s="66"/>
      <c r="E87" s="119"/>
      <c r="F87" s="119"/>
      <c r="G87" s="66"/>
      <c r="H87" s="15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51"/>
      <c r="B88" s="66"/>
      <c r="C88" s="66"/>
      <c r="D88" s="66"/>
      <c r="E88" s="119"/>
      <c r="F88" s="119"/>
      <c r="G88" s="66"/>
      <c r="H88" s="15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51"/>
      <c r="B89" s="66"/>
      <c r="C89" s="66"/>
      <c r="D89" s="66"/>
      <c r="E89" s="119"/>
      <c r="F89" s="119"/>
      <c r="G89" s="66"/>
      <c r="H89" s="15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51"/>
      <c r="B90" s="66"/>
      <c r="C90" s="66"/>
      <c r="D90" s="66"/>
      <c r="E90" s="119"/>
      <c r="F90" s="119"/>
      <c r="G90" s="66"/>
      <c r="H90" s="15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51"/>
      <c r="B91" s="66"/>
      <c r="C91" s="66"/>
      <c r="D91" s="66"/>
      <c r="E91" s="119"/>
      <c r="F91" s="119"/>
      <c r="G91" s="66"/>
      <c r="H91" s="15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51"/>
      <c r="B92" s="66"/>
      <c r="C92" s="66"/>
      <c r="D92" s="66"/>
      <c r="E92" s="119"/>
      <c r="F92" s="119"/>
      <c r="G92" s="66"/>
      <c r="H92" s="15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51"/>
      <c r="B93" s="66"/>
      <c r="C93" s="66"/>
      <c r="D93" s="66"/>
      <c r="E93" s="119"/>
      <c r="F93" s="119"/>
      <c r="G93" s="66"/>
      <c r="H93" s="15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6"/>
      <c r="B94" s="66"/>
      <c r="C94" s="66"/>
      <c r="D94" s="66"/>
      <c r="E94" s="119"/>
      <c r="F94" s="119"/>
      <c r="G94" s="66"/>
      <c r="H94" s="15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6"/>
      <c r="B95" s="66"/>
      <c r="C95" s="66"/>
      <c r="D95" s="66"/>
      <c r="E95" s="119"/>
      <c r="F95" s="119"/>
      <c r="G95" s="66"/>
      <c r="H95" s="15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6"/>
      <c r="B96" s="66"/>
      <c r="C96" s="66"/>
      <c r="D96" s="66"/>
      <c r="E96" s="119"/>
      <c r="F96" s="119"/>
      <c r="G96" s="66"/>
      <c r="H96" s="15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6"/>
      <c r="B97" s="66"/>
      <c r="C97" s="66"/>
      <c r="D97" s="66"/>
      <c r="E97" s="119"/>
      <c r="F97" s="119"/>
      <c r="G97" s="66"/>
      <c r="H97" s="1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6"/>
      <c r="B98" s="66"/>
      <c r="C98" s="66"/>
      <c r="D98" s="66"/>
      <c r="E98" s="119"/>
      <c r="F98" s="119"/>
      <c r="G98" s="66"/>
      <c r="H98" s="1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6"/>
      <c r="B99" s="66"/>
      <c r="C99" s="66"/>
      <c r="D99" s="66"/>
      <c r="E99" s="119"/>
      <c r="F99" s="119"/>
      <c r="G99" s="66"/>
      <c r="H99" s="15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6"/>
      <c r="B100" s="66"/>
      <c r="C100" s="66"/>
      <c r="D100" s="66"/>
      <c r="E100" s="119"/>
      <c r="F100" s="119"/>
      <c r="G100" s="66"/>
      <c r="H100" s="15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6"/>
      <c r="B101" s="66"/>
      <c r="C101" s="66"/>
      <c r="D101" s="66"/>
      <c r="E101" s="119"/>
      <c r="F101" s="119"/>
      <c r="G101" s="66"/>
      <c r="H101" s="15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6"/>
      <c r="B102" s="66"/>
      <c r="C102" s="66"/>
      <c r="D102" s="66"/>
      <c r="E102" s="119"/>
      <c r="F102" s="119"/>
      <c r="G102" s="66"/>
      <c r="H102" s="15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6"/>
      <c r="B103" s="66"/>
      <c r="C103" s="66"/>
      <c r="D103" s="66"/>
      <c r="E103" s="119"/>
      <c r="F103" s="119"/>
      <c r="G103" s="66"/>
      <c r="H103" s="15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6"/>
      <c r="B104" s="66"/>
      <c r="C104" s="66"/>
      <c r="D104" s="66"/>
      <c r="E104" s="119"/>
      <c r="F104" s="119"/>
      <c r="G104" s="66"/>
      <c r="H104" s="15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6"/>
      <c r="B105" s="66"/>
      <c r="C105" s="66"/>
      <c r="D105" s="66"/>
      <c r="E105" s="119"/>
      <c r="F105" s="119"/>
      <c r="G105" s="66"/>
      <c r="H105" s="15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6"/>
      <c r="B106" s="66"/>
      <c r="C106" s="66"/>
      <c r="D106" s="66"/>
      <c r="E106" s="119"/>
      <c r="F106" s="119"/>
      <c r="G106" s="66"/>
      <c r="H106" s="15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6"/>
      <c r="B107" s="66"/>
      <c r="C107" s="66"/>
      <c r="D107" s="66"/>
      <c r="E107" s="119"/>
      <c r="F107" s="119"/>
      <c r="G107" s="66"/>
      <c r="H107" s="15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6"/>
      <c r="B108" s="66"/>
      <c r="C108" s="66"/>
      <c r="D108" s="66"/>
      <c r="E108" s="119"/>
      <c r="F108" s="119"/>
      <c r="G108" s="66"/>
      <c r="H108" s="15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6"/>
      <c r="B109" s="66"/>
      <c r="C109" s="66"/>
      <c r="D109" s="66"/>
      <c r="E109" s="119"/>
      <c r="F109" s="119"/>
      <c r="G109" s="66"/>
      <c r="H109" s="15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6"/>
      <c r="B110" s="66"/>
      <c r="C110" s="66"/>
      <c r="D110" s="66"/>
      <c r="E110" s="119"/>
      <c r="F110" s="119"/>
      <c r="G110" s="66"/>
      <c r="H110" s="15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6"/>
      <c r="B111" s="66"/>
      <c r="C111" s="66"/>
      <c r="D111" s="66"/>
      <c r="E111" s="119"/>
      <c r="F111" s="119"/>
      <c r="G111" s="66"/>
      <c r="H111" s="15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6"/>
      <c r="B112" s="66"/>
      <c r="C112" s="66"/>
      <c r="D112" s="66"/>
      <c r="E112" s="119"/>
      <c r="F112" s="119"/>
      <c r="G112" s="66"/>
      <c r="H112" s="15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51"/>
      <c r="B113" s="66"/>
      <c r="C113" s="66"/>
      <c r="D113" s="66"/>
      <c r="E113" s="119"/>
      <c r="F113" s="119"/>
      <c r="G113" s="66"/>
      <c r="H113" s="15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51"/>
      <c r="B114" s="66"/>
      <c r="C114" s="66"/>
      <c r="D114" s="66"/>
      <c r="E114" s="119"/>
      <c r="F114" s="119"/>
      <c r="G114" s="66"/>
      <c r="H114" s="15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51"/>
      <c r="B115" s="66"/>
      <c r="C115" s="66"/>
      <c r="D115" s="66"/>
      <c r="E115" s="119"/>
      <c r="F115" s="119"/>
      <c r="G115" s="66"/>
      <c r="H115" s="15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51"/>
      <c r="B116" s="66"/>
      <c r="C116" s="66"/>
      <c r="D116" s="66"/>
      <c r="E116" s="119"/>
      <c r="F116" s="119"/>
      <c r="G116" s="66"/>
      <c r="H116" s="15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51"/>
      <c r="B117" s="66"/>
      <c r="C117" s="66"/>
      <c r="D117" s="66"/>
      <c r="E117" s="119"/>
      <c r="F117" s="119"/>
      <c r="G117" s="66"/>
      <c r="H117" s="15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51"/>
      <c r="B118" s="66"/>
      <c r="C118" s="66"/>
      <c r="D118" s="66"/>
      <c r="E118" s="119"/>
      <c r="F118" s="119"/>
      <c r="G118" s="66"/>
      <c r="H118" s="15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51"/>
      <c r="B119" s="66"/>
      <c r="C119" s="66"/>
      <c r="D119" s="66"/>
      <c r="E119" s="119"/>
      <c r="F119" s="119"/>
      <c r="G119" s="66"/>
      <c r="H119" s="15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51"/>
      <c r="B120" s="66"/>
      <c r="C120" s="66"/>
      <c r="D120" s="66"/>
      <c r="E120" s="119"/>
      <c r="F120" s="119"/>
      <c r="G120" s="66"/>
      <c r="H120" s="15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51"/>
      <c r="B121" s="66"/>
      <c r="C121" s="66"/>
      <c r="D121" s="66"/>
      <c r="E121" s="119"/>
      <c r="F121" s="119"/>
      <c r="G121" s="66"/>
      <c r="H121" s="15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51"/>
      <c r="B122" s="66"/>
      <c r="C122" s="66"/>
      <c r="D122" s="66"/>
      <c r="E122" s="119"/>
      <c r="F122" s="119"/>
      <c r="G122" s="66"/>
      <c r="H122" s="15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51"/>
      <c r="B123" s="66"/>
      <c r="C123" s="66"/>
      <c r="D123" s="66"/>
      <c r="E123" s="119"/>
      <c r="F123" s="119"/>
      <c r="G123" s="66"/>
      <c r="H123" s="15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51"/>
      <c r="B124" s="66"/>
      <c r="C124" s="66"/>
      <c r="D124" s="66"/>
      <c r="E124" s="119"/>
      <c r="F124" s="119"/>
      <c r="G124" s="66"/>
      <c r="H124" s="15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6"/>
      <c r="B125" s="66"/>
      <c r="C125" s="66"/>
      <c r="D125" s="66"/>
      <c r="E125" s="119"/>
      <c r="F125" s="119"/>
      <c r="G125" s="66"/>
      <c r="H125" s="15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6"/>
      <c r="B126" s="66"/>
      <c r="C126" s="66"/>
      <c r="D126" s="66"/>
      <c r="E126" s="119"/>
      <c r="F126" s="119"/>
      <c r="G126" s="66"/>
      <c r="H126" s="15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6"/>
      <c r="B127" s="66"/>
      <c r="C127" s="66"/>
      <c r="D127" s="66"/>
      <c r="E127" s="119"/>
      <c r="F127" s="119"/>
      <c r="G127" s="66"/>
      <c r="H127" s="15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6"/>
      <c r="B128" s="66"/>
      <c r="C128" s="66"/>
      <c r="D128" s="66"/>
      <c r="E128" s="119"/>
      <c r="F128" s="119"/>
      <c r="G128" s="66"/>
      <c r="H128" s="15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6"/>
      <c r="B129" s="66"/>
      <c r="C129" s="66"/>
      <c r="D129" s="66"/>
      <c r="E129" s="119"/>
      <c r="F129" s="119"/>
      <c r="G129" s="66"/>
      <c r="H129" s="15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6"/>
      <c r="B130" s="66"/>
      <c r="C130" s="66"/>
      <c r="D130" s="66"/>
      <c r="E130" s="119"/>
      <c r="F130" s="119"/>
      <c r="G130" s="66"/>
      <c r="H130" s="15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6"/>
      <c r="B131" s="66"/>
      <c r="C131" s="66"/>
      <c r="D131" s="66"/>
      <c r="E131" s="119"/>
      <c r="F131" s="119"/>
      <c r="G131" s="66"/>
      <c r="H131" s="15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6"/>
      <c r="B132" s="66"/>
      <c r="C132" s="66"/>
      <c r="D132" s="66"/>
      <c r="E132" s="119"/>
      <c r="F132" s="119"/>
      <c r="G132" s="66"/>
      <c r="H132" s="15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6"/>
      <c r="B133" s="66"/>
      <c r="C133" s="66"/>
      <c r="D133" s="66"/>
      <c r="E133" s="119"/>
      <c r="F133" s="119"/>
      <c r="G133" s="66"/>
      <c r="H133" s="15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6"/>
      <c r="B134" s="66"/>
      <c r="C134" s="66"/>
      <c r="D134" s="66"/>
      <c r="E134" s="119"/>
      <c r="F134" s="119"/>
      <c r="G134" s="66"/>
      <c r="H134" s="15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6"/>
      <c r="B135" s="66"/>
      <c r="C135" s="66"/>
      <c r="D135" s="66"/>
      <c r="E135" s="119"/>
      <c r="F135" s="119"/>
      <c r="G135" s="66"/>
      <c r="H135" s="15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6"/>
      <c r="B136" s="66"/>
      <c r="C136" s="66"/>
      <c r="D136" s="66"/>
      <c r="E136" s="119"/>
      <c r="F136" s="119"/>
      <c r="G136" s="66"/>
      <c r="H136" s="15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6"/>
      <c r="B137" s="66"/>
      <c r="C137" s="66"/>
      <c r="D137" s="66"/>
      <c r="E137" s="119"/>
      <c r="F137" s="119"/>
      <c r="G137" s="66"/>
      <c r="H137" s="15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6"/>
      <c r="B138" s="66"/>
      <c r="C138" s="66"/>
      <c r="D138" s="66"/>
      <c r="E138" s="119"/>
      <c r="F138" s="119"/>
      <c r="G138" s="66"/>
      <c r="H138" s="15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6"/>
      <c r="B139" s="66"/>
      <c r="C139" s="66"/>
      <c r="D139" s="66"/>
      <c r="E139" s="119"/>
      <c r="F139" s="119"/>
      <c r="G139" s="66"/>
      <c r="H139" s="15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6"/>
      <c r="B140" s="66"/>
      <c r="C140" s="66"/>
      <c r="D140" s="66"/>
      <c r="E140" s="119"/>
      <c r="F140" s="119"/>
      <c r="G140" s="66"/>
      <c r="H140" s="15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6"/>
      <c r="B141" s="66"/>
      <c r="C141" s="66"/>
      <c r="D141" s="66"/>
      <c r="E141" s="119"/>
      <c r="F141" s="119"/>
      <c r="G141" s="66"/>
      <c r="H141" s="15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6"/>
      <c r="B142" s="66"/>
      <c r="C142" s="66"/>
      <c r="D142" s="66"/>
      <c r="E142" s="119"/>
      <c r="F142" s="119"/>
      <c r="G142" s="66"/>
      <c r="H142" s="15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51"/>
      <c r="B143" s="66"/>
      <c r="C143" s="66"/>
      <c r="D143" s="66"/>
      <c r="E143" s="119"/>
      <c r="F143" s="119"/>
      <c r="G143" s="66"/>
      <c r="H143" s="15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51"/>
      <c r="B144" s="66"/>
      <c r="C144" s="66"/>
      <c r="D144" s="66"/>
      <c r="E144" s="119"/>
      <c r="F144" s="119"/>
      <c r="G144" s="66"/>
      <c r="H144" s="15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51"/>
      <c r="B145" s="66"/>
      <c r="C145" s="66"/>
      <c r="D145" s="66"/>
      <c r="E145" s="119"/>
      <c r="F145" s="119"/>
      <c r="G145" s="66"/>
      <c r="H145" s="15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51"/>
      <c r="B146" s="66"/>
      <c r="C146" s="66"/>
      <c r="D146" s="66"/>
      <c r="E146" s="119"/>
      <c r="F146" s="119"/>
      <c r="G146" s="66"/>
      <c r="H146" s="15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51"/>
      <c r="B147" s="66"/>
      <c r="C147" s="66"/>
      <c r="D147" s="66"/>
      <c r="E147" s="119"/>
      <c r="F147" s="119"/>
      <c r="G147" s="66"/>
      <c r="H147" s="15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51"/>
      <c r="B148" s="66"/>
      <c r="C148" s="66"/>
      <c r="D148" s="66"/>
      <c r="E148" s="119"/>
      <c r="F148" s="119"/>
      <c r="G148" s="66"/>
      <c r="H148" s="15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51"/>
      <c r="B149" s="66"/>
      <c r="C149" s="66"/>
      <c r="D149" s="66"/>
      <c r="E149" s="119"/>
      <c r="F149" s="119"/>
      <c r="G149" s="66"/>
      <c r="H149" s="15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51"/>
      <c r="B150" s="66"/>
      <c r="C150" s="66"/>
      <c r="D150" s="66"/>
      <c r="E150" s="119"/>
      <c r="F150" s="119"/>
      <c r="G150" s="66"/>
      <c r="H150" s="15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51"/>
      <c r="B151" s="66"/>
      <c r="C151" s="66"/>
      <c r="D151" s="66"/>
      <c r="E151" s="119"/>
      <c r="F151" s="119"/>
      <c r="G151" s="66"/>
      <c r="H151" s="15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51"/>
      <c r="B152" s="66"/>
      <c r="C152" s="66"/>
      <c r="D152" s="66"/>
      <c r="E152" s="119"/>
      <c r="F152" s="119"/>
      <c r="G152" s="66"/>
      <c r="H152" s="15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51"/>
      <c r="B153" s="66"/>
      <c r="C153" s="66"/>
      <c r="D153" s="66"/>
      <c r="E153" s="119"/>
      <c r="F153" s="119"/>
      <c r="G153" s="66"/>
      <c r="H153" s="15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51"/>
      <c r="B154" s="66"/>
      <c r="C154" s="66"/>
      <c r="D154" s="66"/>
      <c r="E154" s="119"/>
      <c r="F154" s="119"/>
      <c r="G154" s="66"/>
      <c r="H154" s="15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6"/>
      <c r="B155" s="66"/>
      <c r="C155" s="66"/>
      <c r="D155" s="66"/>
      <c r="E155" s="119"/>
      <c r="F155" s="119"/>
      <c r="G155" s="66"/>
      <c r="H155" s="15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6"/>
      <c r="B156" s="66"/>
      <c r="C156" s="66"/>
      <c r="D156" s="66"/>
      <c r="E156" s="119"/>
      <c r="F156" s="119"/>
      <c r="G156" s="66"/>
      <c r="H156" s="15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6"/>
      <c r="B157" s="66"/>
      <c r="C157" s="66"/>
      <c r="D157" s="66"/>
      <c r="E157" s="119"/>
      <c r="F157" s="119"/>
      <c r="G157" s="66"/>
      <c r="H157" s="15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6"/>
      <c r="B158" s="66"/>
      <c r="C158" s="66"/>
      <c r="D158" s="66"/>
      <c r="E158" s="119"/>
      <c r="F158" s="119"/>
      <c r="G158" s="66"/>
      <c r="H158" s="15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6"/>
      <c r="B159" s="66"/>
      <c r="C159" s="66"/>
      <c r="D159" s="66"/>
      <c r="E159" s="119"/>
      <c r="F159" s="119"/>
      <c r="G159" s="66"/>
      <c r="H159" s="15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6"/>
      <c r="B160" s="66"/>
      <c r="C160" s="66"/>
      <c r="D160" s="66"/>
      <c r="E160" s="119"/>
      <c r="F160" s="119"/>
      <c r="G160" s="66"/>
      <c r="H160" s="15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6"/>
      <c r="B161" s="66"/>
      <c r="C161" s="66"/>
      <c r="D161" s="66"/>
      <c r="E161" s="119"/>
      <c r="F161" s="119"/>
      <c r="G161" s="66"/>
      <c r="H161" s="15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6"/>
      <c r="B162" s="66"/>
      <c r="C162" s="66"/>
      <c r="D162" s="66"/>
      <c r="E162" s="119"/>
      <c r="F162" s="119"/>
      <c r="G162" s="66"/>
      <c r="H162" s="15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6"/>
      <c r="B163" s="66"/>
      <c r="C163" s="66"/>
      <c r="D163" s="66"/>
      <c r="E163" s="119"/>
      <c r="F163" s="119"/>
      <c r="G163" s="66"/>
      <c r="H163" s="15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6"/>
      <c r="B164" s="66"/>
      <c r="C164" s="66"/>
      <c r="D164" s="66"/>
      <c r="E164" s="119"/>
      <c r="F164" s="119"/>
      <c r="G164" s="66"/>
      <c r="H164" s="15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6"/>
      <c r="B165" s="66"/>
      <c r="C165" s="66"/>
      <c r="D165" s="66"/>
      <c r="E165" s="119"/>
      <c r="F165" s="119"/>
      <c r="G165" s="66"/>
      <c r="H165" s="15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6"/>
      <c r="B166" s="66"/>
      <c r="C166" s="66"/>
      <c r="D166" s="66"/>
      <c r="E166" s="119"/>
      <c r="F166" s="119"/>
      <c r="G166" s="66"/>
      <c r="H166" s="15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6"/>
      <c r="B167" s="66"/>
      <c r="C167" s="66"/>
      <c r="D167" s="66"/>
      <c r="E167" s="119"/>
      <c r="F167" s="119"/>
      <c r="G167" s="66"/>
      <c r="H167" s="15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6"/>
      <c r="B168" s="66"/>
      <c r="C168" s="66"/>
      <c r="D168" s="66"/>
      <c r="E168" s="119"/>
      <c r="F168" s="119"/>
      <c r="G168" s="66"/>
      <c r="H168" s="15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6"/>
      <c r="B169" s="66"/>
      <c r="C169" s="66"/>
      <c r="D169" s="66"/>
      <c r="E169" s="119"/>
      <c r="F169" s="119"/>
      <c r="G169" s="66"/>
      <c r="H169" s="15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6"/>
      <c r="B170" s="66"/>
      <c r="C170" s="66"/>
      <c r="D170" s="66"/>
      <c r="E170" s="119"/>
      <c r="F170" s="119"/>
      <c r="G170" s="66"/>
      <c r="H170" s="15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6"/>
      <c r="B171" s="66"/>
      <c r="C171" s="66"/>
      <c r="D171" s="66"/>
      <c r="E171" s="119"/>
      <c r="F171" s="119"/>
      <c r="G171" s="66"/>
      <c r="H171" s="15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6"/>
      <c r="B172" s="66"/>
      <c r="C172" s="66"/>
      <c r="D172" s="66"/>
      <c r="E172" s="119"/>
      <c r="F172" s="119"/>
      <c r="G172" s="66"/>
      <c r="H172" s="15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6"/>
      <c r="B173" s="66"/>
      <c r="C173" s="66"/>
      <c r="D173" s="66"/>
      <c r="E173" s="119"/>
      <c r="F173" s="119"/>
      <c r="G173" s="66"/>
      <c r="H173" s="15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51"/>
      <c r="B174" s="66"/>
      <c r="C174" s="66"/>
      <c r="D174" s="66"/>
      <c r="E174" s="119"/>
      <c r="F174" s="119"/>
      <c r="G174" s="66"/>
      <c r="H174" s="15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51"/>
      <c r="B175" s="66"/>
      <c r="C175" s="66"/>
      <c r="D175" s="66"/>
      <c r="E175" s="119"/>
      <c r="F175" s="119"/>
      <c r="G175" s="66"/>
      <c r="H175" s="15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51"/>
      <c r="B176" s="66"/>
      <c r="C176" s="66"/>
      <c r="D176" s="66"/>
      <c r="E176" s="119"/>
      <c r="F176" s="119"/>
      <c r="G176" s="66"/>
      <c r="H176" s="15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51"/>
      <c r="B177" s="66"/>
      <c r="C177" s="66"/>
      <c r="D177" s="66"/>
      <c r="E177" s="119"/>
      <c r="F177" s="119"/>
      <c r="G177" s="66"/>
      <c r="H177" s="15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51"/>
      <c r="B178" s="66"/>
      <c r="C178" s="66"/>
      <c r="D178" s="66"/>
      <c r="E178" s="119"/>
      <c r="F178" s="119"/>
      <c r="G178" s="66"/>
      <c r="H178" s="15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51"/>
      <c r="B179" s="66"/>
      <c r="C179" s="66"/>
      <c r="D179" s="66"/>
      <c r="E179" s="119"/>
      <c r="F179" s="119"/>
      <c r="G179" s="66"/>
      <c r="H179" s="15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51"/>
      <c r="B180" s="66"/>
      <c r="C180" s="66"/>
      <c r="D180" s="66"/>
      <c r="E180" s="119"/>
      <c r="F180" s="119"/>
      <c r="G180" s="66"/>
      <c r="H180" s="15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51"/>
      <c r="B181" s="66"/>
      <c r="C181" s="66"/>
      <c r="D181" s="66"/>
      <c r="E181" s="119"/>
      <c r="F181" s="119"/>
      <c r="G181" s="66"/>
      <c r="H181" s="15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51"/>
      <c r="B182" s="66"/>
      <c r="C182" s="66"/>
      <c r="D182" s="66"/>
      <c r="E182" s="119"/>
      <c r="F182" s="119"/>
      <c r="G182" s="66"/>
      <c r="H182" s="15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51"/>
      <c r="B183" s="66"/>
      <c r="C183" s="66"/>
      <c r="D183" s="66"/>
      <c r="E183" s="119"/>
      <c r="F183" s="119"/>
      <c r="G183" s="66"/>
      <c r="H183" s="15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51"/>
      <c r="B184" s="66"/>
      <c r="C184" s="66"/>
      <c r="D184" s="66"/>
      <c r="E184" s="119"/>
      <c r="F184" s="119"/>
      <c r="G184" s="66"/>
      <c r="H184" s="15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51"/>
      <c r="B185" s="66"/>
      <c r="C185" s="66"/>
      <c r="D185" s="66"/>
      <c r="E185" s="119"/>
      <c r="F185" s="119"/>
      <c r="G185" s="66"/>
      <c r="H185" s="15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6"/>
      <c r="B186" s="66"/>
      <c r="C186" s="66"/>
      <c r="D186" s="66"/>
      <c r="E186" s="119"/>
      <c r="F186" s="119"/>
      <c r="G186" s="66"/>
      <c r="H186" s="15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6"/>
      <c r="B187" s="66"/>
      <c r="C187" s="66"/>
      <c r="D187" s="66"/>
      <c r="E187" s="119"/>
      <c r="F187" s="119"/>
      <c r="G187" s="66"/>
      <c r="H187" s="15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6"/>
      <c r="B188" s="66"/>
      <c r="C188" s="66"/>
      <c r="D188" s="66"/>
      <c r="E188" s="119"/>
      <c r="F188" s="119"/>
      <c r="G188" s="66"/>
      <c r="H188" s="15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6"/>
      <c r="B189" s="66"/>
      <c r="C189" s="66"/>
      <c r="D189" s="66"/>
      <c r="E189" s="119"/>
      <c r="F189" s="119"/>
      <c r="G189" s="66"/>
      <c r="H189" s="15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6"/>
      <c r="B190" s="66"/>
      <c r="C190" s="66"/>
      <c r="D190" s="66"/>
      <c r="E190" s="119"/>
      <c r="F190" s="119"/>
      <c r="G190" s="66"/>
      <c r="H190" s="15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6"/>
      <c r="B191" s="66"/>
      <c r="C191" s="66"/>
      <c r="D191" s="66"/>
      <c r="E191" s="119"/>
      <c r="F191" s="119"/>
      <c r="G191" s="66"/>
      <c r="H191" s="15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6"/>
      <c r="B192" s="66"/>
      <c r="C192" s="66"/>
      <c r="D192" s="66"/>
      <c r="E192" s="119"/>
      <c r="F192" s="119"/>
      <c r="G192" s="66"/>
      <c r="H192" s="15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6"/>
      <c r="B193" s="66"/>
      <c r="C193" s="66"/>
      <c r="D193" s="66"/>
      <c r="E193" s="119"/>
      <c r="F193" s="119"/>
      <c r="G193" s="66"/>
      <c r="H193" s="15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6"/>
      <c r="B194" s="66"/>
      <c r="C194" s="66"/>
      <c r="D194" s="66"/>
      <c r="E194" s="119"/>
      <c r="F194" s="119"/>
      <c r="G194" s="66"/>
      <c r="H194" s="15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6"/>
      <c r="B195" s="66"/>
      <c r="C195" s="66"/>
      <c r="D195" s="66"/>
      <c r="E195" s="119"/>
      <c r="F195" s="119"/>
      <c r="G195" s="66"/>
      <c r="H195" s="15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6"/>
      <c r="B196" s="66"/>
      <c r="C196" s="66"/>
      <c r="D196" s="66"/>
      <c r="E196" s="119"/>
      <c r="F196" s="119"/>
      <c r="G196" s="66"/>
      <c r="H196" s="15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6"/>
      <c r="B197" s="66"/>
      <c r="C197" s="66"/>
      <c r="D197" s="66"/>
      <c r="E197" s="119"/>
      <c r="F197" s="119"/>
      <c r="G197" s="66"/>
      <c r="H197" s="15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6"/>
      <c r="B198" s="66"/>
      <c r="C198" s="66"/>
      <c r="D198" s="66"/>
      <c r="E198" s="119"/>
      <c r="F198" s="119"/>
      <c r="G198" s="66"/>
      <c r="H198" s="15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6"/>
      <c r="B199" s="66"/>
      <c r="C199" s="66"/>
      <c r="D199" s="66"/>
      <c r="E199" s="119"/>
      <c r="F199" s="119"/>
      <c r="G199" s="66"/>
      <c r="H199" s="15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6"/>
      <c r="B200" s="66"/>
      <c r="C200" s="66"/>
      <c r="D200" s="66"/>
      <c r="E200" s="119"/>
      <c r="F200" s="119"/>
      <c r="G200" s="66"/>
      <c r="H200" s="15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6"/>
      <c r="B201" s="66"/>
      <c r="C201" s="66"/>
      <c r="D201" s="66"/>
      <c r="E201" s="119"/>
      <c r="F201" s="119"/>
      <c r="G201" s="66"/>
      <c r="H201" s="15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6"/>
      <c r="B202" s="66"/>
      <c r="C202" s="66"/>
      <c r="D202" s="66"/>
      <c r="E202" s="119"/>
      <c r="F202" s="119"/>
      <c r="G202" s="66"/>
      <c r="H202" s="15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6"/>
      <c r="B203" s="66"/>
      <c r="C203" s="66"/>
      <c r="D203" s="66"/>
      <c r="E203" s="119"/>
      <c r="F203" s="119"/>
      <c r="G203" s="66"/>
      <c r="H203" s="15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6"/>
      <c r="B204" s="66"/>
      <c r="C204" s="66"/>
      <c r="D204" s="66"/>
      <c r="E204" s="119"/>
      <c r="F204" s="119"/>
      <c r="G204" s="66"/>
      <c r="H204" s="15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51"/>
      <c r="B205" s="66"/>
      <c r="C205" s="66"/>
      <c r="D205" s="66"/>
      <c r="E205" s="119"/>
      <c r="F205" s="119"/>
      <c r="G205" s="66"/>
      <c r="H205" s="15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51"/>
      <c r="B206" s="66"/>
      <c r="C206" s="66"/>
      <c r="D206" s="66"/>
      <c r="E206" s="119"/>
      <c r="F206" s="119"/>
      <c r="G206" s="66"/>
      <c r="H206" s="15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51"/>
      <c r="B207" s="66"/>
      <c r="C207" s="66"/>
      <c r="D207" s="66"/>
      <c r="E207" s="119"/>
      <c r="F207" s="119"/>
      <c r="G207" s="66"/>
      <c r="H207" s="15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51"/>
      <c r="B208" s="66"/>
      <c r="C208" s="66"/>
      <c r="D208" s="66"/>
      <c r="E208" s="119"/>
      <c r="F208" s="119"/>
      <c r="G208" s="66"/>
      <c r="H208" s="15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51"/>
      <c r="B209" s="66"/>
      <c r="C209" s="66"/>
      <c r="D209" s="66"/>
      <c r="E209" s="119"/>
      <c r="F209" s="119"/>
      <c r="G209" s="66"/>
      <c r="H209" s="15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51"/>
      <c r="B210" s="66"/>
      <c r="C210" s="66"/>
      <c r="D210" s="66"/>
      <c r="E210" s="119"/>
      <c r="F210" s="119"/>
      <c r="G210" s="66"/>
      <c r="H210" s="15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51"/>
      <c r="B211" s="66"/>
      <c r="C211" s="66"/>
      <c r="D211" s="66"/>
      <c r="E211" s="119"/>
      <c r="F211" s="119"/>
      <c r="G211" s="66"/>
      <c r="H211" s="15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51"/>
      <c r="B212" s="66"/>
      <c r="C212" s="66"/>
      <c r="D212" s="66"/>
      <c r="E212" s="119"/>
      <c r="F212" s="119"/>
      <c r="G212" s="66"/>
      <c r="H212" s="15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51"/>
      <c r="B213" s="66"/>
      <c r="C213" s="66"/>
      <c r="D213" s="66"/>
      <c r="E213" s="119"/>
      <c r="F213" s="119"/>
      <c r="G213" s="66"/>
      <c r="H213" s="15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51"/>
      <c r="B214" s="66"/>
      <c r="C214" s="66"/>
      <c r="D214" s="66"/>
      <c r="E214" s="119"/>
      <c r="F214" s="119"/>
      <c r="G214" s="66"/>
      <c r="H214" s="15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51"/>
      <c r="B215" s="66"/>
      <c r="C215" s="66"/>
      <c r="D215" s="66"/>
      <c r="E215" s="119"/>
      <c r="F215" s="119"/>
      <c r="G215" s="66"/>
      <c r="H215" s="15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51"/>
      <c r="B216" s="66"/>
      <c r="C216" s="66"/>
      <c r="D216" s="66"/>
      <c r="E216" s="119"/>
      <c r="F216" s="119"/>
      <c r="G216" s="66"/>
      <c r="H216" s="15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6"/>
      <c r="B217" s="66"/>
      <c r="C217" s="66"/>
      <c r="D217" s="66"/>
      <c r="E217" s="119"/>
      <c r="F217" s="119"/>
      <c r="G217" s="66"/>
      <c r="H217" s="15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6"/>
      <c r="B218" s="66"/>
      <c r="C218" s="66"/>
      <c r="D218" s="66"/>
      <c r="E218" s="119"/>
      <c r="F218" s="119"/>
      <c r="G218" s="66"/>
      <c r="H218" s="15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6"/>
      <c r="B219" s="66"/>
      <c r="C219" s="66"/>
      <c r="D219" s="66"/>
      <c r="E219" s="119"/>
      <c r="F219" s="119"/>
      <c r="G219" s="66"/>
      <c r="H219" s="15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6"/>
      <c r="B220" s="66"/>
      <c r="C220" s="66"/>
      <c r="D220" s="66"/>
      <c r="E220" s="119"/>
      <c r="F220" s="119"/>
      <c r="G220" s="66"/>
      <c r="H220" s="15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6"/>
      <c r="B221" s="66"/>
      <c r="C221" s="66"/>
      <c r="D221" s="66"/>
      <c r="E221" s="119"/>
      <c r="F221" s="119"/>
      <c r="G221" s="66"/>
      <c r="H221" s="15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6"/>
      <c r="B222" s="66"/>
      <c r="C222" s="66"/>
      <c r="D222" s="66"/>
      <c r="E222" s="119"/>
      <c r="F222" s="119"/>
      <c r="G222" s="66"/>
      <c r="H222" s="15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6"/>
      <c r="B223" s="66"/>
      <c r="C223" s="66"/>
      <c r="D223" s="66"/>
      <c r="E223" s="119"/>
      <c r="F223" s="119"/>
      <c r="G223" s="66"/>
      <c r="H223" s="15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6"/>
      <c r="B224" s="66"/>
      <c r="C224" s="66"/>
      <c r="D224" s="66"/>
      <c r="E224" s="119"/>
      <c r="F224" s="119"/>
      <c r="G224" s="66"/>
      <c r="H224" s="15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6"/>
      <c r="B225" s="66"/>
      <c r="C225" s="66"/>
      <c r="D225" s="66"/>
      <c r="E225" s="119"/>
      <c r="F225" s="119"/>
      <c r="G225" s="66"/>
      <c r="H225" s="15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6"/>
      <c r="B226" s="66"/>
      <c r="C226" s="66"/>
      <c r="D226" s="66"/>
      <c r="E226" s="119"/>
      <c r="F226" s="119"/>
      <c r="G226" s="66"/>
      <c r="H226" s="15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6"/>
      <c r="B227" s="66"/>
      <c r="C227" s="66"/>
      <c r="D227" s="66"/>
      <c r="E227" s="119"/>
      <c r="F227" s="119"/>
      <c r="G227" s="66"/>
      <c r="H227" s="15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6"/>
      <c r="B228" s="66"/>
      <c r="C228" s="66"/>
      <c r="D228" s="66"/>
      <c r="E228" s="119"/>
      <c r="F228" s="119"/>
      <c r="G228" s="66"/>
      <c r="H228" s="15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6"/>
      <c r="B229" s="66"/>
      <c r="C229" s="66"/>
      <c r="D229" s="66"/>
      <c r="E229" s="119"/>
      <c r="F229" s="119"/>
      <c r="G229" s="66"/>
      <c r="H229" s="15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6"/>
      <c r="B230" s="66"/>
      <c r="C230" s="66"/>
      <c r="D230" s="66"/>
      <c r="E230" s="119"/>
      <c r="F230" s="119"/>
      <c r="G230" s="66"/>
      <c r="H230" s="15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6"/>
      <c r="B231" s="66"/>
      <c r="C231" s="66"/>
      <c r="D231" s="66"/>
      <c r="E231" s="119"/>
      <c r="F231" s="119"/>
      <c r="G231" s="66"/>
      <c r="H231" s="15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6"/>
      <c r="B232" s="66"/>
      <c r="C232" s="66"/>
      <c r="D232" s="66"/>
      <c r="E232" s="119"/>
      <c r="F232" s="119"/>
      <c r="G232" s="66"/>
      <c r="H232" s="15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6"/>
      <c r="B233" s="66"/>
      <c r="C233" s="66"/>
      <c r="D233" s="66"/>
      <c r="E233" s="119"/>
      <c r="F233" s="119"/>
      <c r="G233" s="66"/>
      <c r="H233" s="15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6"/>
      <c r="B234" s="66"/>
      <c r="C234" s="66"/>
      <c r="D234" s="66"/>
      <c r="E234" s="119"/>
      <c r="F234" s="119"/>
      <c r="G234" s="66"/>
      <c r="H234" s="15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51"/>
      <c r="B235" s="66"/>
      <c r="C235" s="66"/>
      <c r="D235" s="66"/>
      <c r="E235" s="119"/>
      <c r="F235" s="119"/>
      <c r="G235" s="66"/>
      <c r="H235" s="15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11">
    <mergeCell ref="V1:W2"/>
    <mergeCell ref="X1:Y2"/>
    <mergeCell ref="Z1:AA2"/>
    <mergeCell ref="A1:H1"/>
    <mergeCell ref="J1:K2"/>
    <mergeCell ref="L1:M2"/>
    <mergeCell ref="N1:O2"/>
    <mergeCell ref="P1:Q2"/>
    <mergeCell ref="R1:S2"/>
    <mergeCell ref="T1:U2"/>
    <mergeCell ref="A2:A3"/>
  </mergeCells>
  <dataValidations>
    <dataValidation type="list" allowBlank="1" showErrorMessage="1" sqref="B3">
      <formula1>MASTER_TANGGAL!$B$2:$B$32</formula1>
    </dataValidation>
    <dataValidation type="list" allowBlank="1" showErrorMessage="1" sqref="C3">
      <formula1>MASTER_TANGGAL!$C$2:$C$32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43"/>
    <col customWidth="1" min="3" max="9" width="16.0"/>
    <col customWidth="1" min="10" max="11" width="18.0"/>
    <col customWidth="1" min="12" max="12" width="24.0"/>
    <col customWidth="1" min="13" max="13" width="22.29"/>
    <col customWidth="1" min="14" max="14" width="24.0"/>
    <col customWidth="1" min="15" max="15" width="16.57"/>
  </cols>
  <sheetData>
    <row r="1" ht="21.75" customHeight="1">
      <c r="A1" s="143" t="s">
        <v>289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27"/>
      <c r="P1" s="1"/>
      <c r="Q1" s="3" t="s">
        <v>0</v>
      </c>
      <c r="R1" s="4"/>
      <c r="S1" s="3" t="s">
        <v>1</v>
      </c>
      <c r="T1" s="4"/>
      <c r="U1" s="3" t="s">
        <v>2</v>
      </c>
      <c r="V1" s="4"/>
      <c r="W1" s="3" t="s">
        <v>3</v>
      </c>
      <c r="X1" s="4"/>
      <c r="Y1" s="3" t="s">
        <v>4</v>
      </c>
      <c r="Z1" s="4"/>
      <c r="AA1" s="5" t="s">
        <v>5</v>
      </c>
      <c r="AB1" s="4"/>
      <c r="AC1" s="3" t="s">
        <v>6</v>
      </c>
      <c r="AD1" s="4"/>
      <c r="AE1" s="3" t="s">
        <v>7</v>
      </c>
      <c r="AF1" s="4"/>
      <c r="AG1" s="3" t="s">
        <v>8</v>
      </c>
      <c r="AH1" s="4"/>
    </row>
    <row r="2" ht="18.0" customHeight="1">
      <c r="A2" s="1"/>
      <c r="B2" s="144" t="s">
        <v>107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7"/>
      <c r="R2" s="8"/>
      <c r="S2" s="7"/>
      <c r="T2" s="8"/>
      <c r="U2" s="7"/>
      <c r="V2" s="8"/>
      <c r="W2" s="7"/>
      <c r="X2" s="8"/>
      <c r="Y2" s="7"/>
      <c r="Z2" s="8"/>
      <c r="AA2" s="7"/>
      <c r="AB2" s="8"/>
      <c r="AC2" s="7"/>
      <c r="AD2" s="8"/>
      <c r="AE2" s="7"/>
      <c r="AF2" s="8"/>
      <c r="AG2" s="7"/>
      <c r="AH2" s="8"/>
    </row>
    <row r="3" ht="14.25" customHeight="1">
      <c r="B3" s="1">
        <v>2026.0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46" t="s">
        <v>160</v>
      </c>
      <c r="B4" s="146" t="s">
        <v>184</v>
      </c>
      <c r="C4" s="146" t="s">
        <v>252</v>
      </c>
      <c r="D4" s="146" t="s">
        <v>253</v>
      </c>
      <c r="E4" s="146" t="s">
        <v>254</v>
      </c>
      <c r="F4" s="146" t="s">
        <v>255</v>
      </c>
      <c r="G4" s="146" t="s">
        <v>256</v>
      </c>
      <c r="H4" s="146" t="s">
        <v>257</v>
      </c>
      <c r="I4" s="146" t="s">
        <v>290</v>
      </c>
      <c r="J4" s="146" t="s">
        <v>291</v>
      </c>
      <c r="K4" s="146" t="s">
        <v>292</v>
      </c>
      <c r="L4" s="146" t="s">
        <v>293</v>
      </c>
      <c r="M4" s="146" t="s">
        <v>294</v>
      </c>
      <c r="N4" s="146" t="s">
        <v>295</v>
      </c>
      <c r="O4" s="146" t="s">
        <v>258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21" t="s">
        <v>296</v>
      </c>
      <c r="B5" s="147">
        <v>2026.0</v>
      </c>
      <c r="C5" s="147">
        <v>0.0</v>
      </c>
      <c r="D5" s="147">
        <v>0.0</v>
      </c>
      <c r="E5" s="147">
        <v>0.0</v>
      </c>
      <c r="F5" s="148">
        <v>0.0</v>
      </c>
      <c r="G5" s="148">
        <v>0.0</v>
      </c>
      <c r="H5" s="147">
        <v>0.0</v>
      </c>
      <c r="I5" s="148">
        <v>0.0</v>
      </c>
      <c r="J5" s="66"/>
      <c r="K5" s="147">
        <v>0.0</v>
      </c>
      <c r="L5" s="147">
        <v>0.0</v>
      </c>
      <c r="M5" s="66"/>
      <c r="N5" s="147">
        <v>0.0</v>
      </c>
      <c r="O5" s="120" t="s">
        <v>260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21" t="s">
        <v>297</v>
      </c>
      <c r="B6" s="147">
        <v>2026.0</v>
      </c>
      <c r="C6" s="147">
        <v>0.0</v>
      </c>
      <c r="D6" s="147">
        <v>0.0</v>
      </c>
      <c r="E6" s="147">
        <v>0.0</v>
      </c>
      <c r="F6" s="148">
        <v>0.0</v>
      </c>
      <c r="G6" s="148">
        <v>0.0</v>
      </c>
      <c r="H6" s="147">
        <v>0.0</v>
      </c>
      <c r="I6" s="148">
        <v>0.0</v>
      </c>
      <c r="J6" s="66"/>
      <c r="K6" s="147">
        <v>0.0</v>
      </c>
      <c r="L6" s="147">
        <v>0.0</v>
      </c>
      <c r="M6" s="66"/>
      <c r="N6" s="147">
        <v>0.0</v>
      </c>
      <c r="O6" s="120" t="s">
        <v>260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21" t="s">
        <v>29</v>
      </c>
      <c r="B7" s="147">
        <v>2026.0</v>
      </c>
      <c r="C7" s="147">
        <v>4.0</v>
      </c>
      <c r="D7" s="147">
        <v>1.0</v>
      </c>
      <c r="E7" s="147">
        <v>3.0</v>
      </c>
      <c r="F7" s="148">
        <v>370000.0</v>
      </c>
      <c r="G7" s="148">
        <v>0.0</v>
      </c>
      <c r="H7" s="147">
        <v>4.0</v>
      </c>
      <c r="I7" s="148">
        <v>92500.0</v>
      </c>
      <c r="J7" s="121" t="s">
        <v>200</v>
      </c>
      <c r="K7" s="147">
        <v>1.0</v>
      </c>
      <c r="L7" s="147">
        <v>4.0</v>
      </c>
      <c r="M7" s="121" t="s">
        <v>202</v>
      </c>
      <c r="N7" s="147">
        <v>1.0</v>
      </c>
      <c r="O7" s="120" t="s">
        <v>260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21" t="s">
        <v>298</v>
      </c>
      <c r="B8" s="147">
        <v>2026.0</v>
      </c>
      <c r="C8" s="147">
        <v>0.0</v>
      </c>
      <c r="D8" s="147">
        <v>0.0</v>
      </c>
      <c r="E8" s="147">
        <v>0.0</v>
      </c>
      <c r="F8" s="148">
        <v>0.0</v>
      </c>
      <c r="G8" s="148">
        <v>0.0</v>
      </c>
      <c r="H8" s="147">
        <v>0.0</v>
      </c>
      <c r="I8" s="148">
        <v>0.0</v>
      </c>
      <c r="J8" s="66"/>
      <c r="K8" s="147">
        <v>0.0</v>
      </c>
      <c r="L8" s="147">
        <v>0.0</v>
      </c>
      <c r="M8" s="66"/>
      <c r="N8" s="147">
        <v>0.0</v>
      </c>
      <c r="O8" s="120" t="s">
        <v>260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21" t="s">
        <v>299</v>
      </c>
      <c r="B9" s="147">
        <v>2026.0</v>
      </c>
      <c r="C9" s="147">
        <v>0.0</v>
      </c>
      <c r="D9" s="147">
        <v>0.0</v>
      </c>
      <c r="E9" s="147">
        <v>0.0</v>
      </c>
      <c r="F9" s="148">
        <v>0.0</v>
      </c>
      <c r="G9" s="148">
        <v>0.0</v>
      </c>
      <c r="H9" s="147">
        <v>0.0</v>
      </c>
      <c r="I9" s="148">
        <v>0.0</v>
      </c>
      <c r="J9" s="66"/>
      <c r="K9" s="147">
        <v>0.0</v>
      </c>
      <c r="L9" s="147">
        <v>0.0</v>
      </c>
      <c r="M9" s="66"/>
      <c r="N9" s="147">
        <v>0.0</v>
      </c>
      <c r="O9" s="120" t="s">
        <v>260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21" t="s">
        <v>300</v>
      </c>
      <c r="B10" s="147">
        <v>2026.0</v>
      </c>
      <c r="C10" s="147">
        <v>0.0</v>
      </c>
      <c r="D10" s="147">
        <v>0.0</v>
      </c>
      <c r="E10" s="147">
        <v>0.0</v>
      </c>
      <c r="F10" s="148">
        <v>0.0</v>
      </c>
      <c r="G10" s="148">
        <v>0.0</v>
      </c>
      <c r="H10" s="147">
        <v>0.0</v>
      </c>
      <c r="I10" s="148">
        <v>0.0</v>
      </c>
      <c r="J10" s="66"/>
      <c r="K10" s="147">
        <v>0.0</v>
      </c>
      <c r="L10" s="147">
        <v>0.0</v>
      </c>
      <c r="M10" s="66"/>
      <c r="N10" s="147">
        <v>0.0</v>
      </c>
      <c r="O10" s="120" t="s">
        <v>260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21" t="s">
        <v>301</v>
      </c>
      <c r="B11" s="147">
        <v>2026.0</v>
      </c>
      <c r="C11" s="147">
        <v>0.0</v>
      </c>
      <c r="D11" s="147">
        <v>0.0</v>
      </c>
      <c r="E11" s="147">
        <v>0.0</v>
      </c>
      <c r="F11" s="148">
        <v>0.0</v>
      </c>
      <c r="G11" s="148">
        <v>0.0</v>
      </c>
      <c r="H11" s="147">
        <v>0.0</v>
      </c>
      <c r="I11" s="148">
        <v>0.0</v>
      </c>
      <c r="J11" s="66"/>
      <c r="K11" s="147">
        <v>0.0</v>
      </c>
      <c r="L11" s="147">
        <v>0.0</v>
      </c>
      <c r="M11" s="66"/>
      <c r="N11" s="147">
        <v>0.0</v>
      </c>
      <c r="O11" s="120" t="s">
        <v>260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21" t="s">
        <v>302</v>
      </c>
      <c r="B12" s="147">
        <v>2026.0</v>
      </c>
      <c r="C12" s="147">
        <v>0.0</v>
      </c>
      <c r="D12" s="147">
        <v>0.0</v>
      </c>
      <c r="E12" s="147">
        <v>0.0</v>
      </c>
      <c r="F12" s="148">
        <v>0.0</v>
      </c>
      <c r="G12" s="148">
        <v>0.0</v>
      </c>
      <c r="H12" s="147">
        <v>0.0</v>
      </c>
      <c r="I12" s="148">
        <v>0.0</v>
      </c>
      <c r="J12" s="66"/>
      <c r="K12" s="147">
        <v>0.0</v>
      </c>
      <c r="L12" s="147">
        <v>0.0</v>
      </c>
      <c r="M12" s="66"/>
      <c r="N12" s="147">
        <v>0.0</v>
      </c>
      <c r="O12" s="120" t="s">
        <v>260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21" t="s">
        <v>303</v>
      </c>
      <c r="B13" s="147">
        <v>2026.0</v>
      </c>
      <c r="C13" s="147">
        <v>0.0</v>
      </c>
      <c r="D13" s="147">
        <v>0.0</v>
      </c>
      <c r="E13" s="147">
        <v>0.0</v>
      </c>
      <c r="F13" s="148">
        <v>0.0</v>
      </c>
      <c r="G13" s="148">
        <v>0.0</v>
      </c>
      <c r="H13" s="147">
        <v>0.0</v>
      </c>
      <c r="I13" s="148">
        <v>0.0</v>
      </c>
      <c r="J13" s="66"/>
      <c r="K13" s="147">
        <v>0.0</v>
      </c>
      <c r="L13" s="147">
        <v>0.0</v>
      </c>
      <c r="M13" s="66"/>
      <c r="N13" s="147">
        <v>0.0</v>
      </c>
      <c r="O13" s="120" t="s">
        <v>260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21" t="s">
        <v>304</v>
      </c>
      <c r="B14" s="147">
        <v>2026.0</v>
      </c>
      <c r="C14" s="147">
        <v>0.0</v>
      </c>
      <c r="D14" s="147">
        <v>0.0</v>
      </c>
      <c r="E14" s="147">
        <v>0.0</v>
      </c>
      <c r="F14" s="148">
        <v>0.0</v>
      </c>
      <c r="G14" s="148">
        <v>0.0</v>
      </c>
      <c r="H14" s="147">
        <v>0.0</v>
      </c>
      <c r="I14" s="148">
        <v>0.0</v>
      </c>
      <c r="J14" s="66"/>
      <c r="K14" s="147">
        <v>0.0</v>
      </c>
      <c r="L14" s="147">
        <v>0.0</v>
      </c>
      <c r="M14" s="66"/>
      <c r="N14" s="147">
        <v>0.0</v>
      </c>
      <c r="O14" s="120" t="s">
        <v>260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21" t="s">
        <v>305</v>
      </c>
      <c r="B15" s="147">
        <v>2026.0</v>
      </c>
      <c r="C15" s="147">
        <v>0.0</v>
      </c>
      <c r="D15" s="147">
        <v>0.0</v>
      </c>
      <c r="E15" s="147">
        <v>0.0</v>
      </c>
      <c r="F15" s="148">
        <v>0.0</v>
      </c>
      <c r="G15" s="148">
        <v>0.0</v>
      </c>
      <c r="H15" s="147">
        <v>0.0</v>
      </c>
      <c r="I15" s="148">
        <v>0.0</v>
      </c>
      <c r="J15" s="66"/>
      <c r="K15" s="147">
        <v>0.0</v>
      </c>
      <c r="L15" s="147">
        <v>0.0</v>
      </c>
      <c r="M15" s="66"/>
      <c r="N15" s="147">
        <v>0.0</v>
      </c>
      <c r="O15" s="120" t="s">
        <v>260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21" t="s">
        <v>306</v>
      </c>
      <c r="B16" s="147">
        <v>2026.0</v>
      </c>
      <c r="C16" s="147">
        <v>0.0</v>
      </c>
      <c r="D16" s="147">
        <v>0.0</v>
      </c>
      <c r="E16" s="147">
        <v>0.0</v>
      </c>
      <c r="F16" s="148">
        <v>0.0</v>
      </c>
      <c r="G16" s="148">
        <v>0.0</v>
      </c>
      <c r="H16" s="147">
        <v>0.0</v>
      </c>
      <c r="I16" s="148">
        <v>0.0</v>
      </c>
      <c r="J16" s="66"/>
      <c r="K16" s="147">
        <v>0.0</v>
      </c>
      <c r="L16" s="147">
        <v>0.0</v>
      </c>
      <c r="M16" s="66"/>
      <c r="N16" s="147">
        <v>0.0</v>
      </c>
      <c r="O16" s="120" t="s">
        <v>260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11">
    <mergeCell ref="AC1:AD2"/>
    <mergeCell ref="AE1:AF2"/>
    <mergeCell ref="AG1:AH2"/>
    <mergeCell ref="A1:O1"/>
    <mergeCell ref="Q1:R2"/>
    <mergeCell ref="S1:T2"/>
    <mergeCell ref="U1:V2"/>
    <mergeCell ref="W1:X2"/>
    <mergeCell ref="Y1:Z2"/>
    <mergeCell ref="AA1:AB2"/>
    <mergeCell ref="A2:A3"/>
  </mergeCells>
  <dataValidations>
    <dataValidation type="list" allowBlank="1" showErrorMessage="1" sqref="B3">
      <formula1>MASTER_TANGGAL!$C$2:$C$32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6" width="16.0"/>
    <col customWidth="1" min="7" max="7" width="18.0"/>
  </cols>
  <sheetData>
    <row r="1" ht="23.25" customHeight="1">
      <c r="A1" s="143" t="s">
        <v>307</v>
      </c>
      <c r="B1" s="42"/>
      <c r="C1" s="42"/>
      <c r="D1" s="42"/>
      <c r="E1" s="42"/>
      <c r="F1" s="42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44" t="s">
        <v>250</v>
      </c>
      <c r="B2" s="144" t="s">
        <v>107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>
        <v>3.0</v>
      </c>
      <c r="B3" s="1">
        <v>2026.0</v>
      </c>
      <c r="C3" s="145"/>
      <c r="D3" s="145"/>
      <c r="E3" s="145"/>
      <c r="F3" s="145"/>
      <c r="G3" s="145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4.25" customHeight="1">
      <c r="A4" s="152" t="s">
        <v>308</v>
      </c>
      <c r="B4" s="152" t="s">
        <v>166</v>
      </c>
      <c r="C4" s="153" t="s">
        <v>252</v>
      </c>
      <c r="D4" s="154" t="s">
        <v>309</v>
      </c>
      <c r="E4" s="154" t="s">
        <v>310</v>
      </c>
      <c r="F4" s="154" t="s">
        <v>311</v>
      </c>
      <c r="G4" s="152" t="s">
        <v>258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17" t="s">
        <v>312</v>
      </c>
      <c r="B5" s="117" t="s">
        <v>200</v>
      </c>
      <c r="C5" s="118">
        <f>IFNA(COUNTIFS(TRANSAKSI_LOG!J:J,B5,TRANSAKSI_LOG!Y:Y,"lunas",TRANSAKSI_LOG!AA:AA,"Done",TRANSAKSI_LOG!AF:AF,$A$3,TRANSAKSI_LOG!AG:AG,$B$3),0)</f>
        <v>1</v>
      </c>
      <c r="D5" s="119">
        <f>IFNA(SUMIFS(TRANSAKSI_LOG!AC:AC,TRANSAKSI_LOG!J:J,B5,TRANSAKSI_LOG!Y:Y,"lunas",TRANSAKSI_LOG!AA:AA,"Done",TRANSAKSI_LOG!AF:AF,$A$3,TRANSAKSI_LOG!AG:AG,$B$3),0)</f>
        <v>10000</v>
      </c>
      <c r="E5" s="119">
        <f>IFNA(SUMIFS(TRANSAKSI_LOG!T:T,TRANSAKSI_LOG!J:J,B5,TRANSAKSI_LOG!G:G,"Homecare",TRANSAKSI_LOG!Y:Y,"lunas",TRANSAKSI_LOG!AA:AA,"Done",TRANSAKSI_LOG!AF:AF,$A$3,TRANSAKSI_LOG!AG:AG,$B$3),0)</f>
        <v>0</v>
      </c>
      <c r="F5" s="119">
        <f t="shared" ref="F5:F8" si="1">D5+E5</f>
        <v>10000</v>
      </c>
      <c r="G5" s="117" t="s">
        <v>313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17" t="s">
        <v>314</v>
      </c>
      <c r="B6" s="117" t="s">
        <v>118</v>
      </c>
      <c r="C6" s="118">
        <f>IFNA(COUNTIFS(TRANSAKSI_LOG!J:J,B6,TRANSAKSI_LOG!Y:Y,"lunas",TRANSAKSI_LOG!AA:AA,"Done",TRANSAKSI_LOG!AF:AF,$A$3,TRANSAKSI_LOG!AG:AG,$B$3),0)</f>
        <v>1</v>
      </c>
      <c r="D6" s="119">
        <f>IFNA(SUMIFS(TRANSAKSI_LOG!AC:AC,TRANSAKSI_LOG!J:J,B6,TRANSAKSI_LOG!Y:Y,"lunas",TRANSAKSI_LOG!AA:AA,"Done",TRANSAKSI_LOG!AF:AF,$A$3,TRANSAKSI_LOG!AG:AG,$B$3),0)</f>
        <v>40000</v>
      </c>
      <c r="E6" s="119">
        <f>IFNA(SUMIFS(TRANSAKSI_LOG!T:T,TRANSAKSI_LOG!J:J,B6,TRANSAKSI_LOG!G:G,"Homecare",TRANSAKSI_LOG!Y:Y,"lunas",TRANSAKSI_LOG!AA:AA,"Done",TRANSAKSI_LOG!AF:AF,$A$3,TRANSAKSI_LOG!AG:AG,$B$3),0)</f>
        <v>0</v>
      </c>
      <c r="F6" s="119">
        <f t="shared" si="1"/>
        <v>40000</v>
      </c>
      <c r="G6" s="117" t="s">
        <v>313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6" t="s">
        <v>315</v>
      </c>
      <c r="B7" s="66" t="s">
        <v>197</v>
      </c>
      <c r="C7" s="118">
        <f>IFNA(COUNTIFS(TRANSAKSI_LOG!J:J,B7,TRANSAKSI_LOG!Y:Y,"lunas",TRANSAKSI_LOG!AA:AA,"Done",TRANSAKSI_LOG!AF:AF,$A$3,TRANSAKSI_LOG!AG:AG,$B$3),0)</f>
        <v>1</v>
      </c>
      <c r="D7" s="119">
        <f>IFNA(SUMIFS(TRANSAKSI_LOG!AC:AC,TRANSAKSI_LOG!J:J,B7,TRANSAKSI_LOG!Y:Y,"lunas",TRANSAKSI_LOG!AA:AA,"Done",TRANSAKSI_LOG!AF:AF,$A$3,TRANSAKSI_LOG!AG:AG,$B$3),0)</f>
        <v>10000</v>
      </c>
      <c r="E7" s="119">
        <f>IFNA(SUMIFS(TRANSAKSI_LOG!T:T,TRANSAKSI_LOG!J:J,B7,TRANSAKSI_LOG!G:G,"Homecare",TRANSAKSI_LOG!Y:Y,"lunas",TRANSAKSI_LOG!AA:AA,"Done",TRANSAKSI_LOG!AF:AF,$A$3,TRANSAKSI_LOG!AG:AG,$B$3),0)</f>
        <v>25000</v>
      </c>
      <c r="F7" s="119">
        <f t="shared" si="1"/>
        <v>35000</v>
      </c>
      <c r="G7" s="150">
        <v>46107.94166666667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6" t="s">
        <v>316</v>
      </c>
      <c r="B8" s="66" t="s">
        <v>203</v>
      </c>
      <c r="C8" s="118">
        <f>IFNA(COUNTIFS(TRANSAKSI_LOG!J:J,B8,TRANSAKSI_LOG!Y:Y,"lunas",TRANSAKSI_LOG!AA:AA,"Done",TRANSAKSI_LOG!AF:AF,$A$3,TRANSAKSI_LOG!AG:AG,$B$3),0)</f>
        <v>1</v>
      </c>
      <c r="D8" s="119">
        <f>IFNA(SUMIFS(TRANSAKSI_LOG!AC:AC,TRANSAKSI_LOG!J:J,B8,TRANSAKSI_LOG!Y:Y,"lunas",TRANSAKSI_LOG!AA:AA,"Done",TRANSAKSI_LOG!AF:AF,$A$3,TRANSAKSI_LOG!AG:AG,$B$3),0)</f>
        <v>20000</v>
      </c>
      <c r="E8" s="119">
        <f>IFNA(SUMIFS(TRANSAKSI_LOG!T:T,TRANSAKSI_LOG!J:J,B8,TRANSAKSI_LOG!G:G,"Homecare",TRANSAKSI_LOG!Y:Y,"lunas",TRANSAKSI_LOG!AA:AA,"Done",TRANSAKSI_LOG!AF:AF,$A$3,TRANSAKSI_LOG!AG:AG,$B$3),0)</f>
        <v>0</v>
      </c>
      <c r="F8" s="119">
        <f t="shared" si="1"/>
        <v>20000</v>
      </c>
      <c r="G8" s="150">
        <v>46107.94166666667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18"/>
      <c r="D9" s="119"/>
      <c r="E9" s="119"/>
      <c r="F9" s="11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18"/>
      <c r="D10" s="119"/>
      <c r="E10" s="119"/>
      <c r="F10" s="1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18"/>
      <c r="D11" s="119"/>
      <c r="E11" s="119"/>
      <c r="F11" s="11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18"/>
      <c r="D12" s="119"/>
      <c r="E12" s="119"/>
      <c r="F12" s="11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18"/>
      <c r="D13" s="119"/>
      <c r="E13" s="119"/>
      <c r="F13" s="1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18"/>
      <c r="D14" s="119"/>
      <c r="E14" s="119"/>
      <c r="F14" s="11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18"/>
      <c r="D15" s="119"/>
      <c r="E15" s="119"/>
      <c r="F15" s="11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18"/>
      <c r="D16" s="119"/>
      <c r="E16" s="119"/>
      <c r="F16" s="11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18"/>
      <c r="D17" s="119"/>
      <c r="E17" s="119"/>
      <c r="F17" s="11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18"/>
      <c r="D18" s="119"/>
      <c r="E18" s="119"/>
      <c r="F18" s="1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18"/>
      <c r="D19" s="119"/>
      <c r="E19" s="119"/>
      <c r="F19" s="11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1">
    <mergeCell ref="A1:G1"/>
  </mergeCells>
  <dataValidations>
    <dataValidation type="list" allowBlank="1" showErrorMessage="1" sqref="A3">
      <formula1>MASTER_TANGGAL!$B$2:$B$32</formula1>
    </dataValidation>
    <dataValidation type="list" allowBlank="1" showErrorMessage="1" sqref="B3">
      <formula1>MASTER_TANGGAL!$C$2:$C$32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6" width="16.0"/>
    <col customWidth="1" min="7" max="7" width="18.0"/>
  </cols>
  <sheetData>
    <row r="1" ht="23.25" customHeight="1">
      <c r="A1" s="143" t="s">
        <v>307</v>
      </c>
      <c r="B1" s="42"/>
      <c r="C1" s="42"/>
      <c r="D1" s="42"/>
      <c r="E1" s="42"/>
      <c r="F1" s="42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44" t="s">
        <v>250</v>
      </c>
      <c r="B2" s="144" t="s">
        <v>107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55">
        <v>3.0</v>
      </c>
      <c r="B3" s="155">
        <v>2026.0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56" t="s">
        <v>317</v>
      </c>
      <c r="B4" s="156" t="s">
        <v>318</v>
      </c>
      <c r="C4" s="157" t="s">
        <v>252</v>
      </c>
      <c r="D4" s="158" t="s">
        <v>309</v>
      </c>
      <c r="E4" s="158" t="s">
        <v>310</v>
      </c>
      <c r="F4" s="158" t="s">
        <v>311</v>
      </c>
      <c r="G4" s="156" t="s">
        <v>258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17" t="s">
        <v>319</v>
      </c>
      <c r="B5" s="117" t="s">
        <v>320</v>
      </c>
      <c r="C5" s="118">
        <f>IFNA(COUNTIFS(TRANSAKSI_LOG!AE:AE,"Active",TRANSAKSI_LOG!Y:Y,"lunas",TRANSAKSI_LOG!AA:AA,"Done",TRANSAKSI_LOG!AF:AF,$A$3,TRANSAKSI_LOG!AG:AG,$B$3),0)</f>
        <v>4</v>
      </c>
      <c r="D5" s="119">
        <f>IFNA(SUMIFS(TRANSAKSI_LOG!AD:AD,TRANSAKSI_LOG!AE:AE,"Active",TRANSAKSI_LOG!Y:Y,"lunas",TRANSAKSI_LOG!AA:AA,"Done",TRANSAKSI_LOG!AF:AF,$A$3,TRANSAKSI_LOG!AG:AG,$B$3),0)</f>
        <v>30000</v>
      </c>
      <c r="E5" s="119">
        <f>0</f>
        <v>0</v>
      </c>
      <c r="F5" s="119">
        <f>D5+E5</f>
        <v>30000</v>
      </c>
      <c r="G5" s="117" t="s">
        <v>321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6"/>
      <c r="B6" s="66"/>
      <c r="C6" s="66"/>
      <c r="D6" s="119"/>
      <c r="E6" s="119"/>
      <c r="F6" s="119"/>
      <c r="G6" s="15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6"/>
      <c r="B7" s="66"/>
      <c r="C7" s="66"/>
      <c r="D7" s="119"/>
      <c r="E7" s="119"/>
      <c r="F7" s="119"/>
      <c r="G7" s="15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6"/>
      <c r="B8" s="66"/>
      <c r="C8" s="66"/>
      <c r="D8" s="119"/>
      <c r="E8" s="119"/>
      <c r="F8" s="119"/>
      <c r="G8" s="15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1">
    <mergeCell ref="A1:G1"/>
  </mergeCells>
  <dataValidations>
    <dataValidation type="list" allowBlank="1" showErrorMessage="1" sqref="A3">
      <formula1>MASTER_TANGGAL!$B$2:$B$32</formula1>
    </dataValidation>
    <dataValidation type="list" allowBlank="1" showErrorMessage="1" sqref="B3">
      <formula1>MASTER_TANGGAL!$C$2:$C$32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5.0"/>
    <col customWidth="1" min="3" max="3" width="16.0"/>
    <col customWidth="1" min="4" max="7" width="14.0"/>
    <col customWidth="1" min="8" max="8" width="12.0"/>
    <col customWidth="1" min="9" max="9" width="20.0"/>
  </cols>
  <sheetData>
    <row r="1" ht="14.25" customHeight="1">
      <c r="A1" s="28" t="s">
        <v>322</v>
      </c>
      <c r="B1" s="28" t="s">
        <v>164</v>
      </c>
      <c r="C1" s="28" t="s">
        <v>165</v>
      </c>
      <c r="D1" s="28" t="s">
        <v>323</v>
      </c>
      <c r="E1" s="28" t="s">
        <v>324</v>
      </c>
      <c r="F1" s="28" t="s">
        <v>180</v>
      </c>
      <c r="G1" s="28" t="s">
        <v>181</v>
      </c>
      <c r="H1" s="28" t="s">
        <v>325</v>
      </c>
      <c r="I1" s="28" t="s">
        <v>179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66" t="s">
        <v>326</v>
      </c>
      <c r="B2" s="66" t="s">
        <v>187</v>
      </c>
      <c r="C2" s="66" t="s">
        <v>327</v>
      </c>
      <c r="D2" s="66">
        <v>45.0</v>
      </c>
      <c r="E2" s="66">
        <v>75000.0</v>
      </c>
      <c r="F2" s="66">
        <v>20.0</v>
      </c>
      <c r="G2" s="66">
        <v>5.0</v>
      </c>
      <c r="H2" s="66" t="s">
        <v>328</v>
      </c>
      <c r="I2" s="66"/>
      <c r="J2" s="1"/>
      <c r="K2" s="1"/>
      <c r="L2" s="1" t="str">
        <f>IFERROR(__xludf.DUMMYFUNCTION("FILTER(MASTER_LAYANAN!C2:C1000, MASTER_LAYANAN!H2:H1000 = ""Ya"")"),"Baby Relaxation Massage (Pijat Relaksasi Bayi)")</f>
        <v>Baby Relaxation Massage (Pijat Relaksasi Bayi)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6" t="s">
        <v>329</v>
      </c>
      <c r="B3" s="66" t="s">
        <v>187</v>
      </c>
      <c r="C3" s="66" t="s">
        <v>330</v>
      </c>
      <c r="D3" s="66">
        <v>15.0</v>
      </c>
      <c r="E3" s="66">
        <v>50000.0</v>
      </c>
      <c r="F3" s="66">
        <v>10.0</v>
      </c>
      <c r="G3" s="66">
        <v>5.0</v>
      </c>
      <c r="H3" s="66" t="s">
        <v>328</v>
      </c>
      <c r="I3" s="66"/>
      <c r="J3" s="1"/>
      <c r="K3" s="1"/>
      <c r="L3" s="1" t="str">
        <f>IFERROR(__xludf.DUMMYFUNCTION("""COMPUTED_VALUE"""),"Warm Water Swim Therapy (Renang &amp; Terapi Air Hangat)")</f>
        <v>Warm Water Swim Therapy (Renang &amp; Terapi Air Hangat)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66" t="s">
        <v>331</v>
      </c>
      <c r="B4" s="66" t="s">
        <v>187</v>
      </c>
      <c r="C4" s="66" t="s">
        <v>332</v>
      </c>
      <c r="D4" s="66">
        <v>5.0</v>
      </c>
      <c r="E4" s="66">
        <v>20000.0</v>
      </c>
      <c r="F4" s="66">
        <v>5.0</v>
      </c>
      <c r="G4" s="66">
        <v>2.0</v>
      </c>
      <c r="H4" s="66" t="s">
        <v>328</v>
      </c>
      <c r="I4" s="66"/>
      <c r="J4" s="1"/>
      <c r="K4" s="1"/>
      <c r="L4" s="1" t="str">
        <f>IFERROR(__xludf.DUMMYFUNCTION("""COMPUTED_VALUE"""),"Basic Baby Gym (Gym Bayi Dasar)")</f>
        <v>Basic Baby Gym (Gym Bayi Dasar)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66" t="s">
        <v>333</v>
      </c>
      <c r="B5" s="66" t="s">
        <v>187</v>
      </c>
      <c r="C5" s="66" t="s">
        <v>334</v>
      </c>
      <c r="D5" s="66">
        <v>5.0</v>
      </c>
      <c r="E5" s="66">
        <v>20000.0</v>
      </c>
      <c r="F5" s="66">
        <v>5.0</v>
      </c>
      <c r="G5" s="66">
        <v>2.0</v>
      </c>
      <c r="H5" s="66" t="s">
        <v>328</v>
      </c>
      <c r="I5" s="66"/>
      <c r="J5" s="1"/>
      <c r="K5" s="1"/>
      <c r="L5" s="1" t="str">
        <f>IFERROR(__xludf.DUMMYFUNCTION("""COMPUTED_VALUE"""),"Baby Ball Gym (Gym Bola Bayi)")</f>
        <v>Baby Ball Gym (Gym Bola Bayi)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6" t="s">
        <v>335</v>
      </c>
      <c r="B6" s="66" t="s">
        <v>187</v>
      </c>
      <c r="C6" s="66" t="s">
        <v>336</v>
      </c>
      <c r="D6" s="66">
        <v>15.0</v>
      </c>
      <c r="E6" s="66">
        <v>50000.0</v>
      </c>
      <c r="F6" s="66">
        <v>10.0</v>
      </c>
      <c r="G6" s="66">
        <v>5.0</v>
      </c>
      <c r="H6" s="66" t="s">
        <v>328</v>
      </c>
      <c r="I6" s="66"/>
      <c r="J6" s="1"/>
      <c r="K6" s="1"/>
      <c r="L6" s="1" t="str">
        <f>IFERROR(__xludf.DUMMYFUNCTION("""COMPUTED_VALUE"""),"Baby Sensory Bubble Bath (Mandi Busa Sensorik Bayi)")</f>
        <v>Baby Sensory Bubble Bath (Mandi Busa Sensorik Bayi)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66" t="s">
        <v>337</v>
      </c>
      <c r="B7" s="66" t="s">
        <v>187</v>
      </c>
      <c r="C7" s="66" t="s">
        <v>338</v>
      </c>
      <c r="D7" s="66">
        <v>60.0</v>
      </c>
      <c r="E7" s="66">
        <v>85000.0</v>
      </c>
      <c r="F7" s="66">
        <v>20.0</v>
      </c>
      <c r="G7" s="66">
        <v>10.0</v>
      </c>
      <c r="H7" s="66" t="s">
        <v>328</v>
      </c>
      <c r="I7" s="66"/>
      <c r="J7" s="1"/>
      <c r="K7" s="1"/>
      <c r="L7" s="1" t="str">
        <f>IFERROR(__xludf.DUMMYFUNCTION("""COMPUTED_VALUE"""),"Tuina Massage Baby (Pijat Tuina)")</f>
        <v>Tuina Massage Baby (Pijat Tuina)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6" t="s">
        <v>339</v>
      </c>
      <c r="B8" s="66" t="s">
        <v>187</v>
      </c>
      <c r="C8" s="66" t="s">
        <v>202</v>
      </c>
      <c r="D8" s="66">
        <v>60.0</v>
      </c>
      <c r="E8" s="66">
        <v>85000.0</v>
      </c>
      <c r="F8" s="66">
        <v>20.0</v>
      </c>
      <c r="G8" s="66">
        <v>10.0</v>
      </c>
      <c r="H8" s="66" t="s">
        <v>328</v>
      </c>
      <c r="I8" s="66"/>
      <c r="J8" s="1"/>
      <c r="K8" s="1"/>
      <c r="L8" s="1" t="str">
        <f>IFERROR(__xludf.DUMMYFUNCTION("""COMPUTED_VALUE"""),"Colic Relief Massage Baby (Pijat Kolik)")</f>
        <v>Colic Relief Massage Baby (Pijat Kolik)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66" t="s">
        <v>340</v>
      </c>
      <c r="B9" s="66" t="s">
        <v>187</v>
      </c>
      <c r="C9" s="66" t="s">
        <v>341</v>
      </c>
      <c r="D9" s="66">
        <v>60.0</v>
      </c>
      <c r="E9" s="66">
        <v>85000.0</v>
      </c>
      <c r="F9" s="66">
        <v>20.0</v>
      </c>
      <c r="G9" s="66">
        <v>10.0</v>
      </c>
      <c r="H9" s="66" t="s">
        <v>328</v>
      </c>
      <c r="I9" s="66"/>
      <c r="J9" s="1"/>
      <c r="K9" s="1"/>
      <c r="L9" s="1" t="str">
        <f>IFERROR(__xludf.DUMMYFUNCTION("""COMPUTED_VALUE"""),"Cough &amp; Cold Massage Baby(Pijat Batuk &amp; Pilek)")</f>
        <v>Cough &amp; Cold Massage Baby(Pijat Batuk &amp; Pilek)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66" t="s">
        <v>342</v>
      </c>
      <c r="B10" s="66" t="s">
        <v>187</v>
      </c>
      <c r="C10" s="66" t="s">
        <v>343</v>
      </c>
      <c r="D10" s="66">
        <v>60.0</v>
      </c>
      <c r="E10" s="66">
        <v>85000.0</v>
      </c>
      <c r="F10" s="66">
        <v>20.0</v>
      </c>
      <c r="G10" s="66">
        <v>10.0</v>
      </c>
      <c r="H10" s="66" t="s">
        <v>328</v>
      </c>
      <c r="I10" s="66"/>
      <c r="J10" s="1"/>
      <c r="K10" s="1"/>
      <c r="L10" s="1" t="str">
        <f>IFERROR(__xludf.DUMMYFUNCTION("""COMPUTED_VALUE"""),"Constipation Relief Massage Baby (Pijat Konstipasi)")</f>
        <v>Constipation Relief Massage Baby (Pijat Konstipasi)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66" t="s">
        <v>344</v>
      </c>
      <c r="B11" s="66" t="s">
        <v>187</v>
      </c>
      <c r="C11" s="66" t="s">
        <v>345</v>
      </c>
      <c r="D11" s="66">
        <v>5.0</v>
      </c>
      <c r="E11" s="66">
        <v>50000.0</v>
      </c>
      <c r="F11" s="66">
        <v>10.0</v>
      </c>
      <c r="G11" s="66">
        <v>5.0</v>
      </c>
      <c r="H11" s="66" t="s">
        <v>328</v>
      </c>
      <c r="I11" s="66"/>
      <c r="J11" s="1"/>
      <c r="K11" s="1"/>
      <c r="L11" s="1" t="str">
        <f>IFERROR(__xludf.DUMMYFUNCTION("""COMPUTED_VALUE"""),"Baby Ear Piercing (Tindik Telinga Bayi)")</f>
        <v>Baby Ear Piercing (Tindik Telinga Bayi)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66" t="s">
        <v>346</v>
      </c>
      <c r="B12" s="66" t="s">
        <v>187</v>
      </c>
      <c r="C12" s="66" t="s">
        <v>347</v>
      </c>
      <c r="D12" s="66">
        <v>5.0</v>
      </c>
      <c r="E12" s="66">
        <v>15000.0</v>
      </c>
      <c r="F12" s="66">
        <v>5.0</v>
      </c>
      <c r="G12" s="66">
        <v>2.0</v>
      </c>
      <c r="H12" s="66" t="s">
        <v>328</v>
      </c>
      <c r="I12" s="66"/>
      <c r="J12" s="1"/>
      <c r="K12" s="1"/>
      <c r="L12" s="1" t="str">
        <f>IFERROR(__xludf.DUMMYFUNCTION("""COMPUTED_VALUE"""),"Baby Nail Trimming (Pemotongan Kuku Bayi)")</f>
        <v>Baby Nail Trimming (Pemotongan Kuku Bayi)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6" t="s">
        <v>348</v>
      </c>
      <c r="B13" s="66" t="s">
        <v>187</v>
      </c>
      <c r="C13" s="66" t="s">
        <v>349</v>
      </c>
      <c r="D13" s="66">
        <v>15.0</v>
      </c>
      <c r="E13" s="66">
        <v>50000.0</v>
      </c>
      <c r="F13" s="66">
        <v>10.0</v>
      </c>
      <c r="G13" s="66">
        <v>5.0</v>
      </c>
      <c r="H13" s="66" t="s">
        <v>328</v>
      </c>
      <c r="I13" s="66"/>
      <c r="J13" s="1"/>
      <c r="K13" s="1"/>
      <c r="L13" s="1" t="str">
        <f>IFERROR(__xludf.DUMMYFUNCTION("""COMPUTED_VALUE"""),"Newborn Head Shaving (Cukur Gundul Bayi)")</f>
        <v>Newborn Head Shaving (Cukur Gundul Bayi)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66" t="s">
        <v>350</v>
      </c>
      <c r="B14" s="66" t="s">
        <v>187</v>
      </c>
      <c r="C14" s="66" t="s">
        <v>351</v>
      </c>
      <c r="D14" s="66">
        <v>15.0</v>
      </c>
      <c r="E14" s="66">
        <v>20000.0</v>
      </c>
      <c r="F14" s="66">
        <v>5.0</v>
      </c>
      <c r="G14" s="66">
        <v>2.0</v>
      </c>
      <c r="H14" s="66" t="s">
        <v>328</v>
      </c>
      <c r="I14" s="66"/>
      <c r="J14" s="1"/>
      <c r="K14" s="1"/>
      <c r="L14" s="1" t="str">
        <f>IFERROR(__xludf.DUMMYFUNCTION("""COMPUTED_VALUE"""),"Basic Personal Hygiene (Perawatan Kebersihan Dasar)")</f>
        <v>Basic Personal Hygiene (Perawatan Kebersihan Dasar)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66" t="s">
        <v>352</v>
      </c>
      <c r="B15" s="66" t="s">
        <v>187</v>
      </c>
      <c r="C15" s="66" t="s">
        <v>353</v>
      </c>
      <c r="D15" s="66">
        <v>20.0</v>
      </c>
      <c r="E15" s="66">
        <v>50000.0</v>
      </c>
      <c r="F15" s="66">
        <v>10.0</v>
      </c>
      <c r="G15" s="66">
        <v>5.0</v>
      </c>
      <c r="H15" s="66" t="s">
        <v>328</v>
      </c>
      <c r="I15" s="66"/>
      <c r="J15" s="1"/>
      <c r="K15" s="1"/>
      <c r="L15" s="1" t="str">
        <f>IFERROR(__xludf.DUMMYFUNCTION("""COMPUTED_VALUE"""),"Baby Infrared Therapy (Terapi Infrared Bayi)")</f>
        <v>Baby Infrared Therapy (Terapi Infrared Bayi)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66" t="s">
        <v>354</v>
      </c>
      <c r="B16" s="66" t="s">
        <v>187</v>
      </c>
      <c r="C16" s="66" t="s">
        <v>355</v>
      </c>
      <c r="D16" s="66">
        <v>10.0</v>
      </c>
      <c r="E16" s="66">
        <v>50000.0</v>
      </c>
      <c r="F16" s="66">
        <v>10.0</v>
      </c>
      <c r="G16" s="66">
        <v>5.0</v>
      </c>
      <c r="H16" s="66" t="s">
        <v>328</v>
      </c>
      <c r="I16" s="66"/>
      <c r="J16" s="1"/>
      <c r="K16" s="1"/>
      <c r="L16" s="1" t="str">
        <f>IFERROR(__xludf.DUMMYFUNCTION("""COMPUTED_VALUE"""),"Baby Nebulizer Therapy (Terapi Nebulizer Bayi)")</f>
        <v>Baby Nebulizer Therapy (Terapi Nebulizer Bayi)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66" t="s">
        <v>356</v>
      </c>
      <c r="B17" s="66" t="s">
        <v>187</v>
      </c>
      <c r="C17" s="66" t="s">
        <v>117</v>
      </c>
      <c r="D17" s="66">
        <v>70.0</v>
      </c>
      <c r="E17" s="66">
        <v>150000.0</v>
      </c>
      <c r="F17" s="66">
        <v>40.0</v>
      </c>
      <c r="G17" s="66">
        <v>10.0</v>
      </c>
      <c r="H17" s="66" t="s">
        <v>328</v>
      </c>
      <c r="I17" s="66"/>
      <c r="J17" s="1"/>
      <c r="K17" s="1"/>
      <c r="L17" s="1" t="str">
        <f>IFERROR(__xludf.DUMMYFUNCTION("""COMPUTED_VALUE"""),"Newborn Starter Pack With Piercing (Paket Awal Kehidupan)")</f>
        <v>Newborn Starter Pack With Piercing (Paket Awal Kehidupan)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66" t="s">
        <v>357</v>
      </c>
      <c r="B18" s="66" t="s">
        <v>187</v>
      </c>
      <c r="C18" s="66" t="s">
        <v>358</v>
      </c>
      <c r="D18" s="66">
        <v>70.0</v>
      </c>
      <c r="E18" s="66">
        <v>120000.0</v>
      </c>
      <c r="F18" s="66">
        <v>35.0</v>
      </c>
      <c r="G18" s="66">
        <v>10.0</v>
      </c>
      <c r="H18" s="66" t="s">
        <v>328</v>
      </c>
      <c r="I18" s="66"/>
      <c r="J18" s="1"/>
      <c r="K18" s="1"/>
      <c r="L18" s="1" t="str">
        <f>IFERROR(__xludf.DUMMYFUNCTION("""COMPUTED_VALUE"""),"Newborn Starter Pack Without Piercing (Paket Awal Kehidupan)")</f>
        <v>Newborn Starter Pack Without Piercing (Paket Awal Kehidupan)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66" t="s">
        <v>359</v>
      </c>
      <c r="B19" s="66" t="s">
        <v>187</v>
      </c>
      <c r="C19" s="66" t="s">
        <v>360</v>
      </c>
      <c r="D19" s="66">
        <v>60.0</v>
      </c>
      <c r="E19" s="66">
        <v>125000.0</v>
      </c>
      <c r="F19" s="66">
        <v>35.0</v>
      </c>
      <c r="G19" s="66">
        <v>10.0</v>
      </c>
      <c r="H19" s="66" t="s">
        <v>328</v>
      </c>
      <c r="I19" s="66"/>
      <c r="J19" s="1"/>
      <c r="K19" s="1"/>
      <c r="L19" s="1" t="str">
        <f>IFERROR(__xludf.DUMMYFUNCTION("""COMPUTED_VALUE"""),"Optimal Energy Package (Paket Energi Optimal)")</f>
        <v>Optimal Energy Package (Paket Energi Optimal)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66" t="s">
        <v>361</v>
      </c>
      <c r="B20" s="66" t="s">
        <v>187</v>
      </c>
      <c r="C20" s="66" t="s">
        <v>362</v>
      </c>
      <c r="D20" s="66">
        <v>60.0</v>
      </c>
      <c r="E20" s="66">
        <v>90000.0</v>
      </c>
      <c r="F20" s="66">
        <v>20.0</v>
      </c>
      <c r="G20" s="66">
        <v>10.0</v>
      </c>
      <c r="H20" s="66" t="s">
        <v>328</v>
      </c>
      <c r="I20" s="66"/>
      <c r="J20" s="1"/>
      <c r="K20" s="1"/>
      <c r="L20" s="1" t="str">
        <f>IFERROR(__xludf.DUMMYFUNCTION("""COMPUTED_VALUE"""),"Touch of Love Package (Paket Sentuh Cinta)")</f>
        <v>Touch of Love Package (Paket Sentuh Cinta)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6" t="s">
        <v>363</v>
      </c>
      <c r="B21" s="66" t="s">
        <v>187</v>
      </c>
      <c r="C21" s="66" t="s">
        <v>364</v>
      </c>
      <c r="D21" s="66">
        <v>60.0</v>
      </c>
      <c r="E21" s="66">
        <v>145000.0</v>
      </c>
      <c r="F21" s="66">
        <v>35.0</v>
      </c>
      <c r="G21" s="66">
        <v>10.0</v>
      </c>
      <c r="H21" s="66" t="s">
        <v>328</v>
      </c>
      <c r="I21" s="66"/>
      <c r="J21" s="1"/>
      <c r="K21" s="1"/>
      <c r="L21" s="1" t="str">
        <f>IFERROR(__xludf.DUMMYFUNCTION("""COMPUTED_VALUE"""),"Clear Breath Premium (Paket Nafas Lega)")</f>
        <v>Clear Breath Premium (Paket Nafas Lega)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6" t="s">
        <v>365</v>
      </c>
      <c r="B22" s="66" t="s">
        <v>187</v>
      </c>
      <c r="C22" s="66" t="s">
        <v>366</v>
      </c>
      <c r="D22" s="66">
        <v>60.0</v>
      </c>
      <c r="E22" s="66">
        <v>125000.0</v>
      </c>
      <c r="F22" s="66">
        <v>35.0</v>
      </c>
      <c r="G22" s="66">
        <v>10.0</v>
      </c>
      <c r="H22" s="66" t="s">
        <v>328</v>
      </c>
      <c r="I22" s="66"/>
      <c r="J22" s="1"/>
      <c r="K22" s="1"/>
      <c r="L22" s="1" t="str">
        <f>IFERROR(__xludf.DUMMYFUNCTION("""COMPUTED_VALUE"""),"Clear Breath Premium WITHOUT UAP (Paket Nafas Lega Tanpa Uap)")</f>
        <v>Clear Breath Premium WITHOUT UAP (Paket Nafas Lega Tanpa Uap)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6" t="s">
        <v>367</v>
      </c>
      <c r="B23" s="66" t="s">
        <v>187</v>
      </c>
      <c r="C23" s="66" t="s">
        <v>151</v>
      </c>
      <c r="D23" s="66">
        <v>30.0</v>
      </c>
      <c r="E23" s="66">
        <v>60000.0</v>
      </c>
      <c r="F23" s="66">
        <v>10.0</v>
      </c>
      <c r="G23" s="66">
        <v>5.0</v>
      </c>
      <c r="H23" s="66" t="s">
        <v>328</v>
      </c>
      <c r="I23" s="66"/>
      <c r="J23" s="1"/>
      <c r="K23" s="1"/>
      <c r="L23" s="1" t="str">
        <f>IFERROR(__xludf.DUMMYFUNCTION("""COMPUTED_VALUE"""),"Healthy Breath Package (Paket Nafas Sehat)")</f>
        <v>Healthy Breath Package (Paket Nafas Sehat)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6" t="s">
        <v>368</v>
      </c>
      <c r="B24" s="66" t="s">
        <v>187</v>
      </c>
      <c r="C24" s="66" t="s">
        <v>369</v>
      </c>
      <c r="D24" s="66">
        <v>30.0</v>
      </c>
      <c r="E24" s="66">
        <v>100000.0</v>
      </c>
      <c r="F24" s="66">
        <v>40.0</v>
      </c>
      <c r="G24" s="66">
        <v>10.0</v>
      </c>
      <c r="H24" s="66" t="s">
        <v>328</v>
      </c>
      <c r="I24" s="66"/>
      <c r="J24" s="1"/>
      <c r="K24" s="1"/>
      <c r="L24" s="1" t="str">
        <f>IFERROR(__xludf.DUMMYFUNCTION("""COMPUTED_VALUE"""),"Healthy Breath Package 2x (Paket Nafas Sehat)")</f>
        <v>Healthy Breath Package 2x (Paket Nafas Sehat)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6" t="s">
        <v>370</v>
      </c>
      <c r="B25" s="66" t="s">
        <v>371</v>
      </c>
      <c r="C25" s="66" t="s">
        <v>372</v>
      </c>
      <c r="D25" s="66">
        <v>45.0</v>
      </c>
      <c r="E25" s="66">
        <v>80000.0</v>
      </c>
      <c r="F25" s="66">
        <v>20.0</v>
      </c>
      <c r="G25" s="66">
        <v>10.0</v>
      </c>
      <c r="H25" s="66" t="s">
        <v>328</v>
      </c>
      <c r="I25" s="66"/>
      <c r="J25" s="1"/>
      <c r="K25" s="1"/>
      <c r="L25" s="1" t="str">
        <f>IFERROR(__xludf.DUMMYFUNCTION("""COMPUTED_VALUE"""),"Kids Massage (Pijat Anak)")</f>
        <v>Kids Massage (Pijat Anak)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6" t="s">
        <v>373</v>
      </c>
      <c r="B26" s="66" t="s">
        <v>371</v>
      </c>
      <c r="C26" s="66" t="s">
        <v>374</v>
      </c>
      <c r="D26" s="66">
        <v>30.0</v>
      </c>
      <c r="E26" s="66">
        <v>40000.0</v>
      </c>
      <c r="F26" s="66">
        <v>10.0</v>
      </c>
      <c r="G26" s="66">
        <v>5.0</v>
      </c>
      <c r="H26" s="66" t="s">
        <v>328</v>
      </c>
      <c r="I26" s="66"/>
      <c r="J26" s="1"/>
      <c r="K26" s="1"/>
      <c r="L26" s="1" t="str">
        <f>IFERROR(__xludf.DUMMYFUNCTION("""COMPUTED_VALUE"""),"Kids Body Scrub (Lulur Anak)")</f>
        <v>Kids Body Scrub (Lulur Anak)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6" t="s">
        <v>375</v>
      </c>
      <c r="B27" s="66" t="s">
        <v>371</v>
      </c>
      <c r="C27" s="66" t="s">
        <v>376</v>
      </c>
      <c r="D27" s="66">
        <v>15.0</v>
      </c>
      <c r="E27" s="66">
        <v>40000.0</v>
      </c>
      <c r="F27" s="66">
        <v>10.0</v>
      </c>
      <c r="G27" s="66">
        <v>5.0</v>
      </c>
      <c r="H27" s="66" t="s">
        <v>328</v>
      </c>
      <c r="I27" s="66"/>
      <c r="J27" s="1"/>
      <c r="K27" s="1"/>
      <c r="L27" s="1" t="str">
        <f>IFERROR(__xludf.DUMMYFUNCTION("""COMPUTED_VALUE"""),"Kid Sensory Bubble Bath (Mandi Busa Sensorik Anak)")</f>
        <v>Kid Sensory Bubble Bath (Mandi Busa Sensorik Anak)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6" t="s">
        <v>377</v>
      </c>
      <c r="B28" s="66" t="s">
        <v>371</v>
      </c>
      <c r="C28" s="66" t="s">
        <v>378</v>
      </c>
      <c r="D28" s="66">
        <v>15.0</v>
      </c>
      <c r="E28" s="66">
        <v>20000.0</v>
      </c>
      <c r="F28" s="66">
        <v>5.0</v>
      </c>
      <c r="G28" s="66">
        <v>2.0</v>
      </c>
      <c r="H28" s="66" t="s">
        <v>328</v>
      </c>
      <c r="I28" s="66"/>
      <c r="J28" s="1"/>
      <c r="K28" s="1"/>
      <c r="L28" s="1" t="str">
        <f>IFERROR(__xludf.DUMMYFUNCTION("""COMPUTED_VALUE"""),"Kids Facial Mask (Masker Muka)")</f>
        <v>Kids Facial Mask (Masker Muka)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6" t="s">
        <v>379</v>
      </c>
      <c r="B29" s="66" t="s">
        <v>371</v>
      </c>
      <c r="C29" s="66" t="s">
        <v>380</v>
      </c>
      <c r="D29" s="66">
        <v>60.0</v>
      </c>
      <c r="E29" s="66">
        <v>90000.0</v>
      </c>
      <c r="F29" s="66">
        <v>20.0</v>
      </c>
      <c r="G29" s="66">
        <v>10.0</v>
      </c>
      <c r="H29" s="66" t="s">
        <v>328</v>
      </c>
      <c r="I29" s="66"/>
      <c r="J29" s="1"/>
      <c r="K29" s="1"/>
      <c r="L29" s="1" t="str">
        <f>IFERROR(__xludf.DUMMYFUNCTION("""COMPUTED_VALUE"""),"Tuina Massage Kid(Pijat Tuina)")</f>
        <v>Tuina Massage Kid(Pijat Tuina)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6" t="s">
        <v>381</v>
      </c>
      <c r="B30" s="66" t="s">
        <v>371</v>
      </c>
      <c r="C30" s="66" t="s">
        <v>382</v>
      </c>
      <c r="D30" s="66">
        <v>60.0</v>
      </c>
      <c r="E30" s="66">
        <v>90000.0</v>
      </c>
      <c r="F30" s="66">
        <v>20.0</v>
      </c>
      <c r="G30" s="66">
        <v>10.0</v>
      </c>
      <c r="H30" s="66" t="s">
        <v>328</v>
      </c>
      <c r="I30" s="66"/>
      <c r="J30" s="1"/>
      <c r="K30" s="1"/>
      <c r="L30" s="1" t="str">
        <f>IFERROR(__xludf.DUMMYFUNCTION("""COMPUTED_VALUE"""),"Colic Relief Massage Kid(Pijat Kolik)")</f>
        <v>Colic Relief Massage Kid(Pijat Kolik)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6" t="s">
        <v>383</v>
      </c>
      <c r="B31" s="66" t="s">
        <v>371</v>
      </c>
      <c r="C31" s="66" t="s">
        <v>384</v>
      </c>
      <c r="D31" s="66">
        <v>60.0</v>
      </c>
      <c r="E31" s="66">
        <v>90000.0</v>
      </c>
      <c r="F31" s="66">
        <v>20.0</v>
      </c>
      <c r="G31" s="66">
        <v>10.0</v>
      </c>
      <c r="H31" s="66" t="s">
        <v>328</v>
      </c>
      <c r="I31" s="66"/>
      <c r="J31" s="1"/>
      <c r="K31" s="1"/>
      <c r="L31" s="1" t="str">
        <f>IFERROR(__xludf.DUMMYFUNCTION("""COMPUTED_VALUE"""),"Cough &amp; Cold Massage Kid(Pijat Batuk &amp; Pilek)")</f>
        <v>Cough &amp; Cold Massage Kid(Pijat Batuk &amp; Pilek)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6" t="s">
        <v>385</v>
      </c>
      <c r="B32" s="66" t="s">
        <v>371</v>
      </c>
      <c r="C32" s="66" t="s">
        <v>386</v>
      </c>
      <c r="D32" s="66">
        <v>60.0</v>
      </c>
      <c r="E32" s="66">
        <v>90000.0</v>
      </c>
      <c r="F32" s="66">
        <v>20.0</v>
      </c>
      <c r="G32" s="66">
        <v>10.0</v>
      </c>
      <c r="H32" s="66" t="s">
        <v>328</v>
      </c>
      <c r="I32" s="66"/>
      <c r="J32" s="1"/>
      <c r="K32" s="1"/>
      <c r="L32" s="1" t="str">
        <f>IFERROR(__xludf.DUMMYFUNCTION("""COMPUTED_VALUE"""),"Constipation Relief Massage Kid (Pijat Konstipasi)")</f>
        <v>Constipation Relief Massage Kid (Pijat Konstipasi)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6" t="s">
        <v>387</v>
      </c>
      <c r="B33" s="66" t="s">
        <v>371</v>
      </c>
      <c r="C33" s="66" t="s">
        <v>388</v>
      </c>
      <c r="D33" s="66">
        <v>5.0</v>
      </c>
      <c r="E33" s="66">
        <v>50000.0</v>
      </c>
      <c r="F33" s="66">
        <v>10.0</v>
      </c>
      <c r="G33" s="66">
        <v>5.0</v>
      </c>
      <c r="H33" s="66" t="s">
        <v>328</v>
      </c>
      <c r="I33" s="66"/>
      <c r="J33" s="1"/>
      <c r="K33" s="1"/>
      <c r="L33" s="1" t="str">
        <f>IFERROR(__xludf.DUMMYFUNCTION("""COMPUTED_VALUE"""),"Kid Ear Piercing (Tindik Telinga Anak)")</f>
        <v>Kid Ear Piercing (Tindik Telinga Anak)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6" t="s">
        <v>389</v>
      </c>
      <c r="B34" s="66" t="s">
        <v>371</v>
      </c>
      <c r="C34" s="66" t="s">
        <v>390</v>
      </c>
      <c r="D34" s="66">
        <v>5.0</v>
      </c>
      <c r="E34" s="66">
        <v>15000.0</v>
      </c>
      <c r="F34" s="66">
        <v>5.0</v>
      </c>
      <c r="G34" s="66">
        <v>2.0</v>
      </c>
      <c r="H34" s="66" t="s">
        <v>328</v>
      </c>
      <c r="I34" s="66"/>
      <c r="J34" s="1"/>
      <c r="K34" s="1"/>
      <c r="L34" s="1" t="str">
        <f>IFERROR(__xludf.DUMMYFUNCTION("""COMPUTED_VALUE"""),"Kid Nail Trimming (Pemotongan Kuku Anak)")</f>
        <v>Kid Nail Trimming (Pemotongan Kuku Anak)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6" t="s">
        <v>391</v>
      </c>
      <c r="B35" s="66" t="s">
        <v>371</v>
      </c>
      <c r="C35" s="66" t="s">
        <v>392</v>
      </c>
      <c r="D35" s="66">
        <v>10.0</v>
      </c>
      <c r="E35" s="66">
        <v>50000.0</v>
      </c>
      <c r="F35" s="66">
        <v>10.0</v>
      </c>
      <c r="G35" s="66">
        <v>5.0</v>
      </c>
      <c r="H35" s="66" t="s">
        <v>328</v>
      </c>
      <c r="I35" s="66"/>
      <c r="J35" s="1"/>
      <c r="K35" s="1"/>
      <c r="L35" s="1" t="str">
        <f>IFERROR(__xludf.DUMMYFUNCTION("""COMPUTED_VALUE"""),"Kid Infrared Therapy (Terapi Infrared Anak)")</f>
        <v>Kid Infrared Therapy (Terapi Infrared Anak)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6" t="s">
        <v>393</v>
      </c>
      <c r="B36" s="66" t="s">
        <v>371</v>
      </c>
      <c r="C36" s="66" t="s">
        <v>394</v>
      </c>
      <c r="D36" s="66">
        <v>10.0</v>
      </c>
      <c r="E36" s="66">
        <v>50000.0</v>
      </c>
      <c r="F36" s="66">
        <v>10.0</v>
      </c>
      <c r="G36" s="66">
        <v>5.0</v>
      </c>
      <c r="H36" s="66" t="s">
        <v>328</v>
      </c>
      <c r="I36" s="66"/>
      <c r="J36" s="1"/>
      <c r="K36" s="1"/>
      <c r="L36" s="1" t="str">
        <f>IFERROR(__xludf.DUMMYFUNCTION("""COMPUTED_VALUE"""),"Kid Nebulizer Therapy (Terapi Nebulizer Anak)")</f>
        <v>Kid Nebulizer Therapy (Terapi Nebulizer Anak)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6" t="s">
        <v>395</v>
      </c>
      <c r="B37" s="66" t="s">
        <v>371</v>
      </c>
      <c r="C37" s="66" t="s">
        <v>396</v>
      </c>
      <c r="D37" s="66">
        <v>70.0</v>
      </c>
      <c r="E37" s="66">
        <v>80000.0</v>
      </c>
      <c r="F37" s="66">
        <v>20.0</v>
      </c>
      <c r="G37" s="66">
        <v>10.0</v>
      </c>
      <c r="H37" s="66" t="s">
        <v>328</v>
      </c>
      <c r="I37" s="66"/>
      <c r="J37" s="1"/>
      <c r="K37" s="1"/>
      <c r="L37" s="1" t="str">
        <f>IFERROR(__xludf.DUMMYFUNCTION("""COMPUTED_VALUE"""),"Sensory Spa Package (Paket Spa Sensorik)")</f>
        <v>Sensory Spa Package (Paket Spa Sensorik)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6" t="s">
        <v>397</v>
      </c>
      <c r="B38" s="66" t="s">
        <v>371</v>
      </c>
      <c r="C38" s="66" t="s">
        <v>398</v>
      </c>
      <c r="D38" s="66">
        <v>60.0</v>
      </c>
      <c r="E38" s="66">
        <v>120000.0</v>
      </c>
      <c r="F38" s="66">
        <v>35.0</v>
      </c>
      <c r="G38" s="66">
        <v>10.0</v>
      </c>
      <c r="H38" s="66" t="s">
        <v>328</v>
      </c>
      <c r="I38" s="66"/>
      <c r="J38" s="1"/>
      <c r="K38" s="1"/>
      <c r="L38" s="1" t="str">
        <f>IFERROR(__xludf.DUMMYFUNCTION("""COMPUTED_VALUE"""),"Relaxation Duo Package (Paket Duo Relaksasi)")</f>
        <v>Relaxation Duo Package (Paket Duo Relaksasi)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6" t="s">
        <v>399</v>
      </c>
      <c r="B39" s="66" t="s">
        <v>371</v>
      </c>
      <c r="C39" s="66" t="s">
        <v>400</v>
      </c>
      <c r="D39" s="66">
        <v>90.0</v>
      </c>
      <c r="E39" s="66">
        <v>165000.0</v>
      </c>
      <c r="F39" s="66">
        <v>40.0</v>
      </c>
      <c r="G39" s="66">
        <v>10.0</v>
      </c>
      <c r="H39" s="66" t="s">
        <v>328</v>
      </c>
      <c r="I39" s="66"/>
      <c r="J39" s="1"/>
      <c r="K39" s="1"/>
      <c r="L39" s="1" t="str">
        <f>IFERROR(__xludf.DUMMYFUNCTION("""COMPUTED_VALUE"""),"Clear Air Therapy Package (Paket Terapi Udara Bersih)")</f>
        <v>Clear Air Therapy Package (Paket Terapi Udara Bersih)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6" t="s">
        <v>401</v>
      </c>
      <c r="B40" s="66" t="s">
        <v>371</v>
      </c>
      <c r="C40" s="66" t="s">
        <v>402</v>
      </c>
      <c r="D40" s="66">
        <v>30.0</v>
      </c>
      <c r="E40" s="66">
        <v>60000.0</v>
      </c>
      <c r="F40" s="66">
        <v>20.0</v>
      </c>
      <c r="G40" s="66">
        <v>5.0</v>
      </c>
      <c r="H40" s="66" t="s">
        <v>328</v>
      </c>
      <c r="I40" s="66"/>
      <c r="J40" s="1"/>
      <c r="K40" s="1"/>
      <c r="L40" s="1" t="str">
        <f>IFERROR(__xludf.DUMMYFUNCTION("""COMPUTED_VALUE"""),"Healthy Breath Package 1x ( Nafas Sehat 1x )")</f>
        <v>Healthy Breath Package 1x ( Nafas Sehat 1x )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6" t="s">
        <v>403</v>
      </c>
      <c r="B41" s="66" t="s">
        <v>371</v>
      </c>
      <c r="C41" s="66" t="s">
        <v>404</v>
      </c>
      <c r="D41" s="66">
        <v>30.0</v>
      </c>
      <c r="E41" s="66">
        <v>100000.0</v>
      </c>
      <c r="F41" s="66">
        <v>20.0</v>
      </c>
      <c r="G41" s="66">
        <v>10.0</v>
      </c>
      <c r="H41" s="66" t="s">
        <v>328</v>
      </c>
      <c r="I41" s="66"/>
      <c r="J41" s="1"/>
      <c r="K41" s="1"/>
      <c r="L41" s="1" t="str">
        <f>IFERROR(__xludf.DUMMYFUNCTION("""COMPUTED_VALUE"""),"Healthy Breath Package 2x ( Nafas Sehat 2x )")</f>
        <v>Healthy Breath Package 2x ( Nafas Sehat 2x )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6" t="s">
        <v>405</v>
      </c>
      <c r="B42" s="66" t="s">
        <v>406</v>
      </c>
      <c r="C42" s="66" t="s">
        <v>407</v>
      </c>
      <c r="D42" s="66">
        <v>70.0</v>
      </c>
      <c r="E42" s="66">
        <v>150000.0</v>
      </c>
      <c r="F42" s="66">
        <v>40.0</v>
      </c>
      <c r="G42" s="66">
        <v>10.0</v>
      </c>
      <c r="H42" s="66" t="s">
        <v>328</v>
      </c>
      <c r="I42" s="66"/>
      <c r="J42" s="1"/>
      <c r="K42" s="1"/>
      <c r="L42" s="1" t="str">
        <f>IFERROR(__xludf.DUMMYFUNCTION("""COMPUTED_VALUE"""),"Prenatal Wellness Massage (Pijat Prenatal)")</f>
        <v>Prenatal Wellness Massage (Pijat Prenatal)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6" t="s">
        <v>408</v>
      </c>
      <c r="B43" s="66" t="s">
        <v>406</v>
      </c>
      <c r="C43" s="66" t="s">
        <v>409</v>
      </c>
      <c r="D43" s="66">
        <v>20.0</v>
      </c>
      <c r="E43" s="66">
        <v>40000.0</v>
      </c>
      <c r="F43" s="66">
        <v>10.0</v>
      </c>
      <c r="G43" s="66">
        <v>5.0</v>
      </c>
      <c r="H43" s="66" t="s">
        <v>328</v>
      </c>
      <c r="I43" s="66"/>
      <c r="J43" s="1"/>
      <c r="K43" s="1"/>
      <c r="L43" s="1" t="str">
        <f>IFERROR(__xludf.DUMMYFUNCTION("""COMPUTED_VALUE"""),"Facial Acupressure &amp; Mask (Totok Wajah &amp; Masker Wajah)")</f>
        <v>Facial Acupressure &amp; Mask (Totok Wajah &amp; Masker Wajah)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6" t="s">
        <v>410</v>
      </c>
      <c r="B44" s="66" t="s">
        <v>406</v>
      </c>
      <c r="C44" s="66" t="s">
        <v>411</v>
      </c>
      <c r="D44" s="66">
        <v>15.0</v>
      </c>
      <c r="E44" s="66">
        <v>40000.0</v>
      </c>
      <c r="F44" s="66">
        <v>10.0</v>
      </c>
      <c r="G44" s="66">
        <v>5.0</v>
      </c>
      <c r="H44" s="66" t="s">
        <v>328</v>
      </c>
      <c r="I44" s="66"/>
      <c r="J44" s="1"/>
      <c r="K44" s="1"/>
      <c r="L44" s="1" t="str">
        <f>IFERROR(__xludf.DUMMYFUNCTION("""COMPUTED_VALUE"""),"Foot Spa Therapy (Perawatan Foot Spa)")</f>
        <v>Foot Spa Therapy (Perawatan Foot Spa)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6" t="s">
        <v>412</v>
      </c>
      <c r="B45" s="66" t="s">
        <v>406</v>
      </c>
      <c r="C45" s="66" t="s">
        <v>413</v>
      </c>
      <c r="D45" s="66">
        <v>30.0</v>
      </c>
      <c r="E45" s="66">
        <v>65000.0</v>
      </c>
      <c r="F45" s="66">
        <v>10.0</v>
      </c>
      <c r="G45" s="66">
        <v>5.0</v>
      </c>
      <c r="H45" s="66" t="s">
        <v>328</v>
      </c>
      <c r="I45" s="66"/>
      <c r="J45" s="1"/>
      <c r="K45" s="1"/>
      <c r="L45" s="1" t="str">
        <f>IFERROR(__xludf.DUMMYFUNCTION("""COMPUTED_VALUE"""),"Back &amp; Arms Relaxation Massage (Pijat Relaksasi Punggung &amp; Tangan)")</f>
        <v>Back &amp; Arms Relaxation Massage (Pijat Relaksasi Punggung &amp; Tangan)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66" t="s">
        <v>414</v>
      </c>
      <c r="B46" s="66" t="s">
        <v>406</v>
      </c>
      <c r="C46" s="66" t="s">
        <v>415</v>
      </c>
      <c r="D46" s="66">
        <v>60.0</v>
      </c>
      <c r="E46" s="66">
        <v>95000.0</v>
      </c>
      <c r="F46" s="66">
        <v>20.0</v>
      </c>
      <c r="G46" s="66">
        <v>10.0</v>
      </c>
      <c r="H46" s="66" t="s">
        <v>328</v>
      </c>
      <c r="I46" s="66"/>
      <c r="J46" s="1"/>
      <c r="K46" s="1"/>
      <c r="L46" s="1" t="str">
        <f>IFERROR(__xludf.DUMMYFUNCTION("""COMPUTED_VALUE"""),"Early Pregnancy Revitalization Package (Perawatan Awal Kehamilan)")</f>
        <v>Early Pregnancy Revitalization Package (Perawatan Awal Kehamilan)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66" t="s">
        <v>416</v>
      </c>
      <c r="B47" s="66" t="s">
        <v>406</v>
      </c>
      <c r="C47" s="66" t="s">
        <v>417</v>
      </c>
      <c r="D47" s="66">
        <v>90.0</v>
      </c>
      <c r="E47" s="66">
        <v>185000.0</v>
      </c>
      <c r="F47" s="66">
        <v>40.0</v>
      </c>
      <c r="G47" s="66">
        <v>10.0</v>
      </c>
      <c r="H47" s="66" t="s">
        <v>328</v>
      </c>
      <c r="I47" s="66"/>
      <c r="J47" s="1"/>
      <c r="K47" s="1"/>
      <c r="L47" s="1" t="str">
        <f>IFERROR(__xludf.DUMMYFUNCTION("""COMPUTED_VALUE"""),"Mid-Pregnancy Wellness Package (Perawatan Tengah Kehamilan)")</f>
        <v>Mid-Pregnancy Wellness Package (Perawatan Tengah Kehamilan)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6" t="s">
        <v>418</v>
      </c>
      <c r="B48" s="66" t="s">
        <v>406</v>
      </c>
      <c r="C48" s="66" t="s">
        <v>419</v>
      </c>
      <c r="D48" s="66">
        <v>70.0</v>
      </c>
      <c r="E48" s="66">
        <v>150000.0</v>
      </c>
      <c r="F48" s="66">
        <v>40.0</v>
      </c>
      <c r="G48" s="66">
        <v>10.0</v>
      </c>
      <c r="H48" s="66" t="s">
        <v>328</v>
      </c>
      <c r="I48" s="66"/>
      <c r="J48" s="1"/>
      <c r="K48" s="1"/>
      <c r="L48" s="1" t="str">
        <f>IFERROR(__xludf.DUMMYFUNCTION("""COMPUTED_VALUE"""),"Postnatal Recovery Massage (Pijat Pemulihan Pascapersalinan)")</f>
        <v>Postnatal Recovery Massage (Pijat Pemulihan Pascapersalinan)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6" t="s">
        <v>420</v>
      </c>
      <c r="B49" s="66" t="s">
        <v>406</v>
      </c>
      <c r="C49" s="66" t="s">
        <v>421</v>
      </c>
      <c r="D49" s="66">
        <v>100.0</v>
      </c>
      <c r="E49" s="66">
        <v>190000.0</v>
      </c>
      <c r="F49" s="66">
        <v>40.0</v>
      </c>
      <c r="G49" s="66">
        <v>10.0</v>
      </c>
      <c r="H49" s="66" t="s">
        <v>328</v>
      </c>
      <c r="I49" s="66"/>
      <c r="J49" s="1"/>
      <c r="K49" s="1"/>
      <c r="L49" s="1" t="str">
        <f>IFERROR(__xludf.DUMMYFUNCTION("""COMPUTED_VALUE"""),"Platinum Recovery Package (Paket Platinum Pascapersalinan)")</f>
        <v>Platinum Recovery Package (Paket Platinum Pascapersalinan)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6" t="s">
        <v>422</v>
      </c>
      <c r="B50" s="66" t="s">
        <v>406</v>
      </c>
      <c r="C50" s="66" t="s">
        <v>423</v>
      </c>
      <c r="D50" s="66">
        <v>80.0</v>
      </c>
      <c r="E50" s="66">
        <v>90000.0</v>
      </c>
      <c r="F50" s="66">
        <v>20.0</v>
      </c>
      <c r="G50" s="66">
        <v>10.0</v>
      </c>
      <c r="H50" s="66" t="s">
        <v>328</v>
      </c>
      <c r="I50" s="66"/>
      <c r="J50" s="1"/>
      <c r="K50" s="1"/>
      <c r="L50" s="1" t="str">
        <f>IFERROR(__xludf.DUMMYFUNCTION("""COMPUTED_VALUE"""),"Lactation Support Package (Paket Lancar ASI)")</f>
        <v>Lactation Support Package (Paket Lancar ASI)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66" t="s">
        <v>424</v>
      </c>
      <c r="B51" s="66" t="s">
        <v>406</v>
      </c>
      <c r="C51" s="66" t="s">
        <v>425</v>
      </c>
      <c r="D51" s="66">
        <v>30.0</v>
      </c>
      <c r="E51" s="66">
        <v>50000.0</v>
      </c>
      <c r="F51" s="66">
        <v>10.0</v>
      </c>
      <c r="G51" s="66">
        <v>5.0</v>
      </c>
      <c r="H51" s="66" t="s">
        <v>328</v>
      </c>
      <c r="I51" s="66"/>
      <c r="J51" s="1"/>
      <c r="K51" s="1"/>
      <c r="L51" s="1" t="str">
        <f>IFERROR(__xludf.DUMMYFUNCTION("""COMPUTED_VALUE"""),"Oxytocin Stimulation Massage (Pijat Oksitosin)")</f>
        <v>Oxytocin Stimulation Massage (Pijat Oksitosin)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6" t="s">
        <v>426</v>
      </c>
      <c r="B52" s="66" t="s">
        <v>406</v>
      </c>
      <c r="C52" s="66" t="s">
        <v>427</v>
      </c>
      <c r="D52" s="66">
        <v>30.0</v>
      </c>
      <c r="E52" s="66">
        <v>50000.0</v>
      </c>
      <c r="F52" s="66">
        <v>10.0</v>
      </c>
      <c r="G52" s="66">
        <v>5.0</v>
      </c>
      <c r="H52" s="66" t="s">
        <v>328</v>
      </c>
      <c r="I52" s="66"/>
      <c r="J52" s="1"/>
      <c r="K52" s="1"/>
      <c r="L52" s="1" t="str">
        <f>IFERROR(__xludf.DUMMYFUNCTION("""COMPUTED_VALUE"""),"Basic Breast Care (Breast Care Tanpa Penyulit Laktasi)")</f>
        <v>Basic Breast Care (Breast Care Tanpa Penyulit Laktasi)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6" t="s">
        <v>428</v>
      </c>
      <c r="B53" s="66" t="s">
        <v>406</v>
      </c>
      <c r="C53" s="66" t="s">
        <v>429</v>
      </c>
      <c r="D53" s="66">
        <v>45.0</v>
      </c>
      <c r="E53" s="66">
        <v>80000.0</v>
      </c>
      <c r="F53" s="66">
        <v>20.0</v>
      </c>
      <c r="G53" s="66">
        <v>10.0</v>
      </c>
      <c r="H53" s="66" t="s">
        <v>328</v>
      </c>
      <c r="I53" s="66"/>
      <c r="J53" s="1"/>
      <c r="K53" s="1"/>
      <c r="L53" s="1" t="str">
        <f>IFERROR(__xludf.DUMMYFUNCTION("""COMPUTED_VALUE"""),"Advanced Breast Care (Breast Care Dengan Penyulit Laktasi)")</f>
        <v>Advanced Breast Care (Breast Care Dengan Penyulit Laktasi)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66" t="s">
        <v>430</v>
      </c>
      <c r="B54" s="66" t="s">
        <v>406</v>
      </c>
      <c r="C54" s="66" t="s">
        <v>411</v>
      </c>
      <c r="D54" s="66">
        <v>15.0</v>
      </c>
      <c r="E54" s="66">
        <v>40000.0</v>
      </c>
      <c r="F54" s="66">
        <v>10.0</v>
      </c>
      <c r="G54" s="66">
        <v>5.0</v>
      </c>
      <c r="H54" s="66" t="s">
        <v>328</v>
      </c>
      <c r="I54" s="66"/>
      <c r="J54" s="1"/>
      <c r="K54" s="1"/>
      <c r="L54" s="1" t="str">
        <f>IFERROR(__xludf.DUMMYFUNCTION("""COMPUTED_VALUE"""),"Foot Spa Therapy (Perawatan Foot Spa)")</f>
        <v>Foot Spa Therapy (Perawatan Foot Spa)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6" t="s">
        <v>431</v>
      </c>
      <c r="B55" s="66" t="s">
        <v>432</v>
      </c>
      <c r="C55" s="66" t="s">
        <v>433</v>
      </c>
      <c r="D55" s="66">
        <v>40.0</v>
      </c>
      <c r="E55" s="66">
        <v>75000.0</v>
      </c>
      <c r="F55" s="66">
        <v>20.0</v>
      </c>
      <c r="G55" s="66">
        <v>5.0</v>
      </c>
      <c r="H55" s="66" t="s">
        <v>328</v>
      </c>
      <c r="I55" s="66"/>
      <c r="J55" s="1"/>
      <c r="K55" s="1"/>
      <c r="L55" s="1" t="str">
        <f>IFERROR(__xludf.DUMMYFUNCTION("""COMPUTED_VALUE"""),"Baby Relaxation Massage HC (Pijat Relaksasi Bayi)")</f>
        <v>Baby Relaxation Massage HC (Pijat Relaksasi Bayi)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66" t="s">
        <v>434</v>
      </c>
      <c r="B56" s="66" t="s">
        <v>432</v>
      </c>
      <c r="C56" s="66" t="s">
        <v>435</v>
      </c>
      <c r="D56" s="66">
        <v>45.0</v>
      </c>
      <c r="E56" s="66">
        <v>80000.0</v>
      </c>
      <c r="F56" s="66">
        <v>35.0</v>
      </c>
      <c r="G56" s="66">
        <v>10.0</v>
      </c>
      <c r="H56" s="66" t="s">
        <v>328</v>
      </c>
      <c r="I56" s="66"/>
      <c r="J56" s="1"/>
      <c r="K56" s="1"/>
      <c r="L56" s="1" t="str">
        <f>IFERROR(__xludf.DUMMYFUNCTION("""COMPUTED_VALUE"""),"Kids Massage HC (Pijat Anak)")</f>
        <v>Kids Massage HC (Pijat Anak)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6" t="s">
        <v>436</v>
      </c>
      <c r="B57" s="66" t="s">
        <v>432</v>
      </c>
      <c r="C57" s="66" t="s">
        <v>437</v>
      </c>
      <c r="D57" s="66">
        <v>5.0</v>
      </c>
      <c r="E57" s="66">
        <v>20000.0</v>
      </c>
      <c r="F57" s="66">
        <v>5.0</v>
      </c>
      <c r="G57" s="66">
        <v>2.0</v>
      </c>
      <c r="H57" s="66" t="s">
        <v>328</v>
      </c>
      <c r="I57" s="66"/>
      <c r="J57" s="1"/>
      <c r="K57" s="1"/>
      <c r="L57" s="1" t="str">
        <f>IFERROR(__xludf.DUMMYFUNCTION("""COMPUTED_VALUE"""),"Basic Baby Gym HC (Gym Bayi Dasar)")</f>
        <v>Basic Baby Gym HC (Gym Bayi Dasar)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66" t="s">
        <v>438</v>
      </c>
      <c r="B58" s="66" t="s">
        <v>432</v>
      </c>
      <c r="C58" s="66" t="s">
        <v>439</v>
      </c>
      <c r="D58" s="66">
        <v>60.0</v>
      </c>
      <c r="E58" s="66">
        <v>90000.0</v>
      </c>
      <c r="F58" s="66">
        <v>35.0</v>
      </c>
      <c r="G58" s="66">
        <v>10.0</v>
      </c>
      <c r="H58" s="66" t="s">
        <v>328</v>
      </c>
      <c r="I58" s="66"/>
      <c r="J58" s="1"/>
      <c r="K58" s="1"/>
      <c r="L58" s="1" t="str">
        <f>IFERROR(__xludf.DUMMYFUNCTION("""COMPUTED_VALUE"""),"Tuina Massage Baby/Kid HC (Pijat Tuina)")</f>
        <v>Tuina Massage Baby/Kid HC (Pijat Tuina)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6" t="s">
        <v>440</v>
      </c>
      <c r="B59" s="66" t="s">
        <v>432</v>
      </c>
      <c r="C59" s="66" t="s">
        <v>441</v>
      </c>
      <c r="D59" s="66">
        <v>60.0</v>
      </c>
      <c r="E59" s="66">
        <v>90000.0</v>
      </c>
      <c r="F59" s="66">
        <v>35.0</v>
      </c>
      <c r="G59" s="66">
        <v>10.0</v>
      </c>
      <c r="H59" s="66" t="s">
        <v>328</v>
      </c>
      <c r="I59" s="66"/>
      <c r="J59" s="1"/>
      <c r="K59" s="1"/>
      <c r="L59" s="1" t="str">
        <f>IFERROR(__xludf.DUMMYFUNCTION("""COMPUTED_VALUE"""),"Colic Relief Massage HC (Pijat Kolik)")</f>
        <v>Colic Relief Massage HC (Pijat Kolik)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66" t="s">
        <v>442</v>
      </c>
      <c r="B60" s="66" t="s">
        <v>432</v>
      </c>
      <c r="C60" s="66" t="s">
        <v>443</v>
      </c>
      <c r="D60" s="66">
        <v>60.0</v>
      </c>
      <c r="E60" s="66">
        <v>90000.0</v>
      </c>
      <c r="F60" s="66">
        <v>35.0</v>
      </c>
      <c r="G60" s="66">
        <v>10.0</v>
      </c>
      <c r="H60" s="66" t="s">
        <v>328</v>
      </c>
      <c r="I60" s="66"/>
      <c r="J60" s="1"/>
      <c r="K60" s="1"/>
      <c r="L60" s="1" t="str">
        <f>IFERROR(__xludf.DUMMYFUNCTION("""COMPUTED_VALUE"""),"Cough &amp; Cold Massage HC (Pijat Batuk &amp; Pilek)")</f>
        <v>Cough &amp; Cold Massage HC (Pijat Batuk &amp; Pilek)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6" t="s">
        <v>444</v>
      </c>
      <c r="B61" s="66" t="s">
        <v>432</v>
      </c>
      <c r="C61" s="66" t="s">
        <v>445</v>
      </c>
      <c r="D61" s="66">
        <v>60.0</v>
      </c>
      <c r="E61" s="66">
        <v>90000.0</v>
      </c>
      <c r="F61" s="66">
        <v>35.0</v>
      </c>
      <c r="G61" s="66">
        <v>10.0</v>
      </c>
      <c r="H61" s="66" t="s">
        <v>328</v>
      </c>
      <c r="I61" s="66"/>
      <c r="J61" s="1"/>
      <c r="K61" s="1"/>
      <c r="L61" s="1" t="str">
        <f>IFERROR(__xludf.DUMMYFUNCTION("""COMPUTED_VALUE"""),"Constipation Relief Massage HC (Pijat Konstipasi)")</f>
        <v>Constipation Relief Massage HC (Pijat Konstipasi)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6" t="s">
        <v>446</v>
      </c>
      <c r="B62" s="66" t="s">
        <v>432</v>
      </c>
      <c r="C62" s="66" t="s">
        <v>447</v>
      </c>
      <c r="D62" s="66">
        <v>5.0</v>
      </c>
      <c r="E62" s="66">
        <v>50000.0</v>
      </c>
      <c r="F62" s="66">
        <v>10.0</v>
      </c>
      <c r="G62" s="66">
        <v>5.0</v>
      </c>
      <c r="H62" s="66" t="s">
        <v>328</v>
      </c>
      <c r="I62" s="66"/>
      <c r="J62" s="1"/>
      <c r="K62" s="1"/>
      <c r="L62" s="1" t="str">
        <f>IFERROR(__xludf.DUMMYFUNCTION("""COMPUTED_VALUE"""),"Baby Ear Piercing HC (Tindik Telinga Bayi)")</f>
        <v>Baby Ear Piercing HC (Tindik Telinga Bayi)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6" t="s">
        <v>448</v>
      </c>
      <c r="B63" s="66" t="s">
        <v>432</v>
      </c>
      <c r="C63" s="66" t="s">
        <v>449</v>
      </c>
      <c r="D63" s="66">
        <v>5.0</v>
      </c>
      <c r="E63" s="66">
        <v>20000.0</v>
      </c>
      <c r="F63" s="66">
        <v>5.0</v>
      </c>
      <c r="G63" s="66">
        <v>2.0</v>
      </c>
      <c r="H63" s="66" t="s">
        <v>328</v>
      </c>
      <c r="I63" s="66"/>
      <c r="J63" s="1"/>
      <c r="K63" s="1"/>
      <c r="L63" s="1" t="str">
        <f>IFERROR(__xludf.DUMMYFUNCTION("""COMPUTED_VALUE"""),"Baby Nail Trimming HC (Pemotongan Kuku Bayi)")</f>
        <v>Baby Nail Trimming HC (Pemotongan Kuku Bayi)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66" t="s">
        <v>450</v>
      </c>
      <c r="B64" s="66" t="s">
        <v>432</v>
      </c>
      <c r="C64" s="66" t="s">
        <v>451</v>
      </c>
      <c r="D64" s="66">
        <v>15.0</v>
      </c>
      <c r="E64" s="66">
        <v>50000.0</v>
      </c>
      <c r="F64" s="66">
        <v>10.0</v>
      </c>
      <c r="G64" s="66">
        <v>5.0</v>
      </c>
      <c r="H64" s="66" t="s">
        <v>328</v>
      </c>
      <c r="I64" s="66"/>
      <c r="J64" s="1"/>
      <c r="K64" s="1"/>
      <c r="L64" s="1" t="str">
        <f>IFERROR(__xludf.DUMMYFUNCTION("""COMPUTED_VALUE"""),"Newborn Head Shaving HC (Cukur Gundul Bayi)")</f>
        <v>Newborn Head Shaving HC (Cukur Gundul Bayi)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6" t="s">
        <v>452</v>
      </c>
      <c r="B65" s="66" t="s">
        <v>432</v>
      </c>
      <c r="C65" s="66" t="s">
        <v>453</v>
      </c>
      <c r="D65" s="66">
        <v>10.0</v>
      </c>
      <c r="E65" s="66">
        <v>20000.0</v>
      </c>
      <c r="F65" s="66">
        <v>5.0</v>
      </c>
      <c r="G65" s="66">
        <v>2.0</v>
      </c>
      <c r="H65" s="66" t="s">
        <v>328</v>
      </c>
      <c r="I65" s="66"/>
      <c r="J65" s="1"/>
      <c r="K65" s="1"/>
      <c r="L65" s="1" t="str">
        <f>IFERROR(__xludf.DUMMYFUNCTION("""COMPUTED_VALUE"""),"Basic Personal Hygiene HC (Perawatan Kebersihan Dasar)")</f>
        <v>Basic Personal Hygiene HC (Perawatan Kebersihan Dasar)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6" t="s">
        <v>454</v>
      </c>
      <c r="B66" s="66" t="s">
        <v>432</v>
      </c>
      <c r="C66" s="66" t="s">
        <v>455</v>
      </c>
      <c r="D66" s="66">
        <v>10.0</v>
      </c>
      <c r="E66" s="66">
        <v>50000.0</v>
      </c>
      <c r="F66" s="66">
        <v>10.0</v>
      </c>
      <c r="G66" s="66">
        <v>5.0</v>
      </c>
      <c r="H66" s="66" t="s">
        <v>328</v>
      </c>
      <c r="I66" s="66"/>
      <c r="J66" s="1"/>
      <c r="K66" s="1"/>
      <c r="L66" s="1" t="str">
        <f>IFERROR(__xludf.DUMMYFUNCTION("""COMPUTED_VALUE"""),"Infrared Therapy HC (Terapi Infrared)")</f>
        <v>Infrared Therapy HC (Terapi Infrared)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6" t="s">
        <v>456</v>
      </c>
      <c r="B67" s="66" t="s">
        <v>432</v>
      </c>
      <c r="C67" s="66" t="s">
        <v>457</v>
      </c>
      <c r="D67" s="66">
        <v>10.0</v>
      </c>
      <c r="E67" s="66">
        <v>50000.0</v>
      </c>
      <c r="F67" s="66">
        <v>10.0</v>
      </c>
      <c r="G67" s="66">
        <v>5.0</v>
      </c>
      <c r="H67" s="66" t="s">
        <v>328</v>
      </c>
      <c r="I67" s="66"/>
      <c r="J67" s="1"/>
      <c r="K67" s="1"/>
      <c r="L67" s="1" t="str">
        <f>IFERROR(__xludf.DUMMYFUNCTION("""COMPUTED_VALUE"""),"Nebulizer Therapy HC (Terapi Nebulizer)")</f>
        <v>Nebulizer Therapy HC (Terapi Nebulizer)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6" t="s">
        <v>458</v>
      </c>
      <c r="B68" s="66" t="s">
        <v>432</v>
      </c>
      <c r="C68" s="66" t="s">
        <v>459</v>
      </c>
      <c r="D68" s="66">
        <v>70.0</v>
      </c>
      <c r="E68" s="66">
        <v>150000.0</v>
      </c>
      <c r="F68" s="66">
        <v>40.0</v>
      </c>
      <c r="G68" s="66">
        <v>10.0</v>
      </c>
      <c r="H68" s="66" t="s">
        <v>328</v>
      </c>
      <c r="I68" s="66"/>
      <c r="J68" s="1"/>
      <c r="K68" s="1"/>
      <c r="L68" s="1" t="str">
        <f>IFERROR(__xludf.DUMMYFUNCTION("""COMPUTED_VALUE"""),"Newborn Starter Pack With Piercing HC (Paket Awal Kehidupan)")</f>
        <v>Newborn Starter Pack With Piercing HC (Paket Awal Kehidupan)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6" t="s">
        <v>460</v>
      </c>
      <c r="B69" s="66" t="s">
        <v>432</v>
      </c>
      <c r="C69" s="66" t="s">
        <v>461</v>
      </c>
      <c r="D69" s="66">
        <v>70.0</v>
      </c>
      <c r="E69" s="66">
        <v>120000.0</v>
      </c>
      <c r="F69" s="66">
        <v>35.0</v>
      </c>
      <c r="G69" s="66">
        <v>10.0</v>
      </c>
      <c r="H69" s="66" t="s">
        <v>328</v>
      </c>
      <c r="I69" s="66"/>
      <c r="J69" s="1"/>
      <c r="K69" s="1"/>
      <c r="L69" s="1" t="str">
        <f>IFERROR(__xludf.DUMMYFUNCTION("""COMPUTED_VALUE"""),"Newborn Starter Pack Without Piercing HC (Paket Awal Kehidupan)")</f>
        <v>Newborn Starter Pack Without Piercing HC (Paket Awal Kehidupan)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6" t="s">
        <v>462</v>
      </c>
      <c r="B70" s="66" t="s">
        <v>432</v>
      </c>
      <c r="C70" s="66" t="s">
        <v>463</v>
      </c>
      <c r="D70" s="66">
        <v>60.0</v>
      </c>
      <c r="E70" s="66">
        <v>125000.0</v>
      </c>
      <c r="F70" s="66">
        <v>35.0</v>
      </c>
      <c r="G70" s="66">
        <v>10.0</v>
      </c>
      <c r="H70" s="66" t="s">
        <v>328</v>
      </c>
      <c r="I70" s="66"/>
      <c r="J70" s="1"/>
      <c r="K70" s="1"/>
      <c r="L70" s="1" t="str">
        <f>IFERROR(__xludf.DUMMYFUNCTION("""COMPUTED_VALUE"""),"1 Day New Born Pack HC")</f>
        <v>1 Day New Born Pack HC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6" t="s">
        <v>464</v>
      </c>
      <c r="B71" s="66" t="s">
        <v>432</v>
      </c>
      <c r="C71" s="66" t="s">
        <v>465</v>
      </c>
      <c r="D71" s="66">
        <v>60.0</v>
      </c>
      <c r="E71" s="66">
        <v>395000.0</v>
      </c>
      <c r="F71" s="66">
        <v>105.0</v>
      </c>
      <c r="G71" s="66">
        <v>10.0</v>
      </c>
      <c r="H71" s="66" t="s">
        <v>328</v>
      </c>
      <c r="I71" s="66"/>
      <c r="J71" s="1"/>
      <c r="K71" s="1"/>
      <c r="L71" s="1" t="str">
        <f>IFERROR(__xludf.DUMMYFUNCTION("""COMPUTED_VALUE"""),"3 Days New Born Pack HC")</f>
        <v>3 Days New Born Pack HC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66" t="s">
        <v>466</v>
      </c>
      <c r="B72" s="66" t="s">
        <v>432</v>
      </c>
      <c r="C72" s="66" t="s">
        <v>467</v>
      </c>
      <c r="D72" s="66">
        <v>60.0</v>
      </c>
      <c r="E72" s="66">
        <v>800000.0</v>
      </c>
      <c r="F72" s="66">
        <v>245.0</v>
      </c>
      <c r="G72" s="66">
        <v>10.0</v>
      </c>
      <c r="H72" s="66" t="s">
        <v>328</v>
      </c>
      <c r="I72" s="66"/>
      <c r="J72" s="1"/>
      <c r="K72" s="1"/>
      <c r="L72" s="1" t="str">
        <f>IFERROR(__xludf.DUMMYFUNCTION("""COMPUTED_VALUE"""),"7 Days New Born Pack HC")</f>
        <v>7 Days New Born Pack HC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6" t="s">
        <v>468</v>
      </c>
      <c r="B73" s="66" t="s">
        <v>432</v>
      </c>
      <c r="C73" s="66" t="s">
        <v>469</v>
      </c>
      <c r="D73" s="66">
        <v>60.0</v>
      </c>
      <c r="E73" s="66">
        <v>145000.0</v>
      </c>
      <c r="F73" s="66">
        <v>40.0</v>
      </c>
      <c r="G73" s="66">
        <v>10.0</v>
      </c>
      <c r="H73" s="66" t="s">
        <v>328</v>
      </c>
      <c r="I73" s="66"/>
      <c r="J73" s="1"/>
      <c r="K73" s="1"/>
      <c r="L73" s="1" t="str">
        <f>IFERROR(__xludf.DUMMYFUNCTION("""COMPUTED_VALUE"""),"1x Clear Breath Premium (Paket Nafas Lega) HC")</f>
        <v>1x Clear Breath Premium (Paket Nafas Lega) HC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66" t="s">
        <v>470</v>
      </c>
      <c r="B74" s="66" t="s">
        <v>432</v>
      </c>
      <c r="C74" s="66" t="s">
        <v>471</v>
      </c>
      <c r="D74" s="66">
        <v>60.0</v>
      </c>
      <c r="E74" s="66">
        <v>250000.0</v>
      </c>
      <c r="F74" s="66">
        <v>80.0</v>
      </c>
      <c r="G74" s="66">
        <v>10.0</v>
      </c>
      <c r="H74" s="66" t="s">
        <v>328</v>
      </c>
      <c r="I74" s="66"/>
      <c r="J74" s="1"/>
      <c r="K74" s="1"/>
      <c r="L74" s="1" t="str">
        <f>IFERROR(__xludf.DUMMYFUNCTION("""COMPUTED_VALUE"""),"2x Clear Breath Premium (Paket Nafas Lega) HC")</f>
        <v>2x Clear Breath Premium (Paket Nafas Lega) HC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66" t="s">
        <v>472</v>
      </c>
      <c r="B75" s="66" t="s">
        <v>432</v>
      </c>
      <c r="C75" s="66" t="s">
        <v>473</v>
      </c>
      <c r="D75" s="66">
        <v>30.0</v>
      </c>
      <c r="E75" s="66">
        <v>60000.0</v>
      </c>
      <c r="F75" s="66">
        <v>10.0</v>
      </c>
      <c r="G75" s="66">
        <v>5.0</v>
      </c>
      <c r="H75" s="66" t="s">
        <v>328</v>
      </c>
      <c r="I75" s="66"/>
      <c r="J75" s="1"/>
      <c r="K75" s="1"/>
      <c r="L75" s="1" t="str">
        <f>IFERROR(__xludf.DUMMYFUNCTION("""COMPUTED_VALUE"""),"1x Healthy Breath Package (Paket Nafas Sehat) HC")</f>
        <v>1x Healthy Breath Package (Paket Nafas Sehat) HC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66" t="s">
        <v>474</v>
      </c>
      <c r="B76" s="66" t="s">
        <v>432</v>
      </c>
      <c r="C76" s="66" t="s">
        <v>475</v>
      </c>
      <c r="D76" s="66">
        <v>30.0</v>
      </c>
      <c r="E76" s="66">
        <v>100000.0</v>
      </c>
      <c r="F76" s="66">
        <v>35.0</v>
      </c>
      <c r="G76" s="66">
        <v>10.0</v>
      </c>
      <c r="H76" s="66" t="s">
        <v>328</v>
      </c>
      <c r="I76" s="66"/>
      <c r="J76" s="1"/>
      <c r="K76" s="1"/>
      <c r="L76" s="1" t="str">
        <f>IFERROR(__xludf.DUMMYFUNCTION("""COMPUTED_VALUE"""),"2x Healthy Breath Package (Paket Nafas Sehat) HC")</f>
        <v>2x Healthy Breath Package (Paket Nafas Sehat) HC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66" t="s">
        <v>476</v>
      </c>
      <c r="B77" s="66" t="s">
        <v>196</v>
      </c>
      <c r="C77" s="66" t="s">
        <v>477</v>
      </c>
      <c r="D77" s="66">
        <v>70.0</v>
      </c>
      <c r="E77" s="66">
        <v>150000.0</v>
      </c>
      <c r="F77" s="66">
        <v>40.0</v>
      </c>
      <c r="G77" s="66">
        <v>10.0</v>
      </c>
      <c r="H77" s="66" t="s">
        <v>328</v>
      </c>
      <c r="I77" s="66"/>
      <c r="J77" s="1"/>
      <c r="K77" s="1"/>
      <c r="L77" s="1" t="str">
        <f>IFERROR(__xludf.DUMMYFUNCTION("""COMPUTED_VALUE"""),"Prenatal Wellness Massage HC (Pijat Prenatal)")</f>
        <v>Prenatal Wellness Massage HC (Pijat Prenatal)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66" t="s">
        <v>478</v>
      </c>
      <c r="B78" s="66" t="s">
        <v>196</v>
      </c>
      <c r="C78" s="66" t="s">
        <v>479</v>
      </c>
      <c r="D78" s="66">
        <v>20.0</v>
      </c>
      <c r="E78" s="66">
        <v>40000.0</v>
      </c>
      <c r="F78" s="66">
        <v>10.0</v>
      </c>
      <c r="G78" s="66">
        <v>5.0</v>
      </c>
      <c r="H78" s="66" t="s">
        <v>328</v>
      </c>
      <c r="I78" s="66"/>
      <c r="J78" s="1"/>
      <c r="K78" s="1"/>
      <c r="L78" s="1" t="str">
        <f>IFERROR(__xludf.DUMMYFUNCTION("""COMPUTED_VALUE"""),"Facial Acupressure &amp; Mask HC (Totok Wajah &amp; Masker Wajah)")</f>
        <v>Facial Acupressure &amp; Mask HC (Totok Wajah &amp; Masker Wajah)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66" t="s">
        <v>480</v>
      </c>
      <c r="B79" s="66" t="s">
        <v>196</v>
      </c>
      <c r="C79" s="66" t="s">
        <v>481</v>
      </c>
      <c r="D79" s="66">
        <v>15.0</v>
      </c>
      <c r="E79" s="66">
        <v>65000.0</v>
      </c>
      <c r="F79" s="66">
        <v>20.0</v>
      </c>
      <c r="G79" s="66">
        <v>5.0</v>
      </c>
      <c r="H79" s="66" t="s">
        <v>328</v>
      </c>
      <c r="I79" s="66"/>
      <c r="J79" s="1"/>
      <c r="K79" s="1"/>
      <c r="L79" s="1" t="str">
        <f>IFERROR(__xludf.DUMMYFUNCTION("""COMPUTED_VALUE"""),"Back &amp; Arms Relaxation Massage HC (Pijat Relaksasi Punggung &amp; Tangan)")</f>
        <v>Back &amp; Arms Relaxation Massage HC (Pijat Relaksasi Punggung &amp; Tangan)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66" t="s">
        <v>482</v>
      </c>
      <c r="B80" s="66" t="s">
        <v>196</v>
      </c>
      <c r="C80" s="66" t="s">
        <v>483</v>
      </c>
      <c r="D80" s="66">
        <v>30.0</v>
      </c>
      <c r="E80" s="66">
        <v>40000.0</v>
      </c>
      <c r="F80" s="66">
        <v>10.0</v>
      </c>
      <c r="G80" s="66">
        <v>5.0</v>
      </c>
      <c r="H80" s="66" t="s">
        <v>328</v>
      </c>
      <c r="I80" s="66"/>
      <c r="J80" s="1"/>
      <c r="K80" s="1"/>
      <c r="L80" s="1" t="str">
        <f>IFERROR(__xludf.DUMMYFUNCTION("""COMPUTED_VALUE"""),"Foot Spa Therapy HC (Perawatan Foot Spa)")</f>
        <v>Foot Spa Therapy HC (Perawatan Foot Spa)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66" t="s">
        <v>484</v>
      </c>
      <c r="B81" s="66" t="s">
        <v>196</v>
      </c>
      <c r="C81" s="66" t="s">
        <v>485</v>
      </c>
      <c r="D81" s="66">
        <v>60.0</v>
      </c>
      <c r="E81" s="66">
        <v>95000.0</v>
      </c>
      <c r="F81" s="66">
        <v>35.0</v>
      </c>
      <c r="G81" s="66">
        <v>10.0</v>
      </c>
      <c r="H81" s="66" t="s">
        <v>328</v>
      </c>
      <c r="I81" s="66"/>
      <c r="J81" s="1"/>
      <c r="K81" s="1"/>
      <c r="L81" s="1" t="str">
        <f>IFERROR(__xludf.DUMMYFUNCTION("""COMPUTED_VALUE"""),"Early Pregnancy Revitalization Package HC (Perawatan Awal Kehamilan)")</f>
        <v>Early Pregnancy Revitalization Package HC (Perawatan Awal Kehamilan)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66" t="s">
        <v>486</v>
      </c>
      <c r="B82" s="66" t="s">
        <v>196</v>
      </c>
      <c r="C82" s="66" t="s">
        <v>487</v>
      </c>
      <c r="D82" s="66">
        <v>45.0</v>
      </c>
      <c r="E82" s="66">
        <v>185000.0</v>
      </c>
      <c r="F82" s="66">
        <v>40.0</v>
      </c>
      <c r="G82" s="66">
        <v>10.0</v>
      </c>
      <c r="H82" s="66" t="s">
        <v>328</v>
      </c>
      <c r="I82" s="66"/>
      <c r="J82" s="1"/>
      <c r="K82" s="1"/>
      <c r="L82" s="1" t="str">
        <f>IFERROR(__xludf.DUMMYFUNCTION("""COMPUTED_VALUE"""),"Mid-Pregnancy Wellness Package HC (Perawatan Tengah Kehamilan)")</f>
        <v>Mid-Pregnancy Wellness Package HC (Perawatan Tengah Kehamilan)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66" t="s">
        <v>488</v>
      </c>
      <c r="B83" s="66" t="s">
        <v>196</v>
      </c>
      <c r="C83" s="66" t="s">
        <v>489</v>
      </c>
      <c r="D83" s="66">
        <v>70.0</v>
      </c>
      <c r="E83" s="66">
        <v>150000.0</v>
      </c>
      <c r="F83" s="66">
        <v>40.0</v>
      </c>
      <c r="G83" s="66">
        <v>10.0</v>
      </c>
      <c r="H83" s="66" t="s">
        <v>328</v>
      </c>
      <c r="I83" s="66"/>
      <c r="J83" s="1"/>
      <c r="K83" s="1"/>
      <c r="L83" s="1" t="str">
        <f>IFERROR(__xludf.DUMMYFUNCTION("""COMPUTED_VALUE"""),"Postnatal Recovery Massage HC (Pijat Pemulihan Pascapersalinan)")</f>
        <v>Postnatal Recovery Massage HC (Pijat Pemulihan Pascapersalinan)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6" t="s">
        <v>490</v>
      </c>
      <c r="B84" s="66" t="s">
        <v>196</v>
      </c>
      <c r="C84" s="66" t="s">
        <v>491</v>
      </c>
      <c r="D84" s="66">
        <v>100.0</v>
      </c>
      <c r="E84" s="66">
        <v>190000.0</v>
      </c>
      <c r="F84" s="66">
        <v>50.0</v>
      </c>
      <c r="G84" s="66">
        <v>10.0</v>
      </c>
      <c r="H84" s="66" t="s">
        <v>328</v>
      </c>
      <c r="I84" s="66"/>
      <c r="J84" s="1"/>
      <c r="K84" s="1"/>
      <c r="L84" s="1" t="str">
        <f>IFERROR(__xludf.DUMMYFUNCTION("""COMPUTED_VALUE"""),"Platinum Recovery Package HC (Paket Platinum Pascapersalinan)")</f>
        <v>Platinum Recovery Package HC (Paket Platinum Pascapersalinan)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66" t="s">
        <v>492</v>
      </c>
      <c r="B85" s="66" t="s">
        <v>196</v>
      </c>
      <c r="C85" s="66" t="s">
        <v>493</v>
      </c>
      <c r="D85" s="66">
        <v>80.0</v>
      </c>
      <c r="E85" s="66">
        <v>90000.0</v>
      </c>
      <c r="F85" s="66">
        <v>35.0</v>
      </c>
      <c r="G85" s="66">
        <v>10.0</v>
      </c>
      <c r="H85" s="66" t="s">
        <v>328</v>
      </c>
      <c r="I85" s="66"/>
      <c r="J85" s="1"/>
      <c r="K85" s="1"/>
      <c r="L85" s="1" t="str">
        <f>IFERROR(__xludf.DUMMYFUNCTION("""COMPUTED_VALUE"""),"Lactation Support Package HC (Paket Lancar ASI)")</f>
        <v>Lactation Support Package HC (Paket Lancar ASI)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6" t="s">
        <v>494</v>
      </c>
      <c r="B86" s="66" t="s">
        <v>196</v>
      </c>
      <c r="C86" s="66" t="s">
        <v>145</v>
      </c>
      <c r="D86" s="66">
        <v>30.0</v>
      </c>
      <c r="E86" s="66">
        <v>50000.0</v>
      </c>
      <c r="F86" s="66">
        <v>10.0</v>
      </c>
      <c r="G86" s="66">
        <v>5.0</v>
      </c>
      <c r="H86" s="66" t="s">
        <v>328</v>
      </c>
      <c r="I86" s="66"/>
      <c r="J86" s="1"/>
      <c r="K86" s="1"/>
      <c r="L86" s="1" t="str">
        <f>IFERROR(__xludf.DUMMYFUNCTION("""COMPUTED_VALUE"""),"Oxytocin Stimulation Massage HC (Pijat Oksitosin)")</f>
        <v>Oxytocin Stimulation Massage HC (Pijat Oksitosin)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6" t="s">
        <v>495</v>
      </c>
      <c r="B87" s="66" t="s">
        <v>196</v>
      </c>
      <c r="C87" s="66" t="s">
        <v>496</v>
      </c>
      <c r="D87" s="66">
        <v>30.0</v>
      </c>
      <c r="E87" s="66">
        <v>50000.0</v>
      </c>
      <c r="F87" s="66">
        <v>10.0</v>
      </c>
      <c r="G87" s="66">
        <v>5.0</v>
      </c>
      <c r="H87" s="66" t="s">
        <v>328</v>
      </c>
      <c r="I87" s="66"/>
      <c r="J87" s="1"/>
      <c r="K87" s="1"/>
      <c r="L87" s="1" t="str">
        <f>IFERROR(__xludf.DUMMYFUNCTION("""COMPUTED_VALUE"""),"Basic Breast Care HC (Breast Care Tanpa Penyulit Laktasi)")</f>
        <v>Basic Breast Care HC (Breast Care Tanpa Penyulit Laktasi)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6" t="s">
        <v>497</v>
      </c>
      <c r="B88" s="66" t="s">
        <v>196</v>
      </c>
      <c r="C88" s="66" t="s">
        <v>498</v>
      </c>
      <c r="D88" s="66">
        <v>45.0</v>
      </c>
      <c r="E88" s="66">
        <v>90000.0</v>
      </c>
      <c r="F88" s="66">
        <v>20.0</v>
      </c>
      <c r="G88" s="66">
        <v>10.0</v>
      </c>
      <c r="H88" s="66" t="s">
        <v>328</v>
      </c>
      <c r="I88" s="66"/>
      <c r="J88" s="1"/>
      <c r="K88" s="1"/>
      <c r="L88" s="1" t="str">
        <f>IFERROR(__xludf.DUMMYFUNCTION("""COMPUTED_VALUE"""),"Advanced Breast Care HC (Breast Care Dengan Penyulit Laktasi)")</f>
        <v>Advanced Breast Care HC (Breast Care Dengan Penyulit Laktasi)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6" t="s">
        <v>499</v>
      </c>
      <c r="B89" s="66" t="s">
        <v>196</v>
      </c>
      <c r="C89" s="66" t="s">
        <v>483</v>
      </c>
      <c r="D89" s="66">
        <v>15.0</v>
      </c>
      <c r="E89" s="66">
        <v>40000.0</v>
      </c>
      <c r="F89" s="66">
        <v>10.0</v>
      </c>
      <c r="G89" s="66">
        <v>5.0</v>
      </c>
      <c r="H89" s="66" t="s">
        <v>328</v>
      </c>
      <c r="I89" s="66"/>
      <c r="J89" s="1"/>
      <c r="K89" s="1"/>
      <c r="L89" s="1" t="str">
        <f>IFERROR(__xludf.DUMMYFUNCTION("""COMPUTED_VALUE"""),"Foot Spa Therapy HC (Perawatan Foot Spa)")</f>
        <v>Foot Spa Therapy HC (Perawatan Foot Spa)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6" t="s">
        <v>500</v>
      </c>
      <c r="B90" s="66" t="s">
        <v>196</v>
      </c>
      <c r="C90" s="66" t="s">
        <v>501</v>
      </c>
      <c r="D90" s="66">
        <v>90.0</v>
      </c>
      <c r="E90" s="66">
        <v>125000.0</v>
      </c>
      <c r="F90" s="66">
        <v>35.0</v>
      </c>
      <c r="G90" s="66">
        <v>10.0</v>
      </c>
      <c r="H90" s="66" t="s">
        <v>328</v>
      </c>
      <c r="I90" s="66"/>
      <c r="J90" s="1"/>
      <c r="K90" s="1"/>
      <c r="L90" s="1" t="str">
        <f>IFERROR(__xludf.DUMMYFUNCTION("""COMPUTED_VALUE"""),"1 Day Recovery Mom Package HC")</f>
        <v>1 Day Recovery Mom Package HC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66" t="s">
        <v>502</v>
      </c>
      <c r="B91" s="66" t="s">
        <v>196</v>
      </c>
      <c r="C91" s="66" t="s">
        <v>503</v>
      </c>
      <c r="D91" s="66">
        <v>90.0</v>
      </c>
      <c r="E91" s="66">
        <v>370000.0</v>
      </c>
      <c r="F91" s="66">
        <v>105.0</v>
      </c>
      <c r="G91" s="66">
        <v>10.0</v>
      </c>
      <c r="H91" s="66" t="s">
        <v>328</v>
      </c>
      <c r="I91" s="66"/>
      <c r="J91" s="1"/>
      <c r="K91" s="1"/>
      <c r="L91" s="1" t="str">
        <f>IFERROR(__xludf.DUMMYFUNCTION("""COMPUTED_VALUE"""),"3 Days Recovery Mom Package HC")</f>
        <v>3 Days Recovery Mom Package HC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66" t="s">
        <v>504</v>
      </c>
      <c r="B92" s="66" t="s">
        <v>196</v>
      </c>
      <c r="C92" s="66" t="s">
        <v>505</v>
      </c>
      <c r="D92" s="66">
        <v>90.0</v>
      </c>
      <c r="E92" s="66">
        <v>800000.0</v>
      </c>
      <c r="F92" s="66">
        <v>245.0</v>
      </c>
      <c r="G92" s="66">
        <v>10.0</v>
      </c>
      <c r="H92" s="66" t="s">
        <v>328</v>
      </c>
      <c r="I92" s="66"/>
      <c r="J92" s="1"/>
      <c r="K92" s="1"/>
      <c r="L92" s="1" t="str">
        <f>IFERROR(__xludf.DUMMYFUNCTION("""COMPUTED_VALUE"""),"7 Days Recovery Mom Package HC")</f>
        <v>7 Days Recovery Mom Package HC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dataValidations>
    <dataValidation type="list" allowBlank="1" showErrorMessage="1" sqref="H2:H500">
      <formula1>"YA,TIDAK"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8.0"/>
    <col customWidth="1" min="4" max="4" width="10.0"/>
    <col customWidth="1" min="5" max="5" width="18.0"/>
    <col customWidth="1" hidden="1" min="6" max="6" width="16.0"/>
    <col customWidth="1" hidden="1" min="7" max="7" width="20.0"/>
    <col customWidth="1" hidden="1" min="8" max="8" width="14.43"/>
  </cols>
  <sheetData>
    <row r="1" ht="14.25" customHeight="1">
      <c r="A1" s="28" t="s">
        <v>308</v>
      </c>
      <c r="B1" s="28" t="s">
        <v>166</v>
      </c>
      <c r="C1" s="28" t="s">
        <v>506</v>
      </c>
      <c r="D1" s="28" t="s">
        <v>325</v>
      </c>
      <c r="E1" s="28" t="s">
        <v>507</v>
      </c>
      <c r="F1" s="28" t="s">
        <v>508</v>
      </c>
      <c r="G1" s="28" t="s">
        <v>179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66" t="s">
        <v>312</v>
      </c>
      <c r="B2" s="66" t="s">
        <v>200</v>
      </c>
      <c r="C2" s="66"/>
      <c r="D2" s="66" t="s">
        <v>328</v>
      </c>
      <c r="E2" s="66" t="s">
        <v>328</v>
      </c>
      <c r="F2" s="66">
        <v>0.0</v>
      </c>
      <c r="G2" s="66"/>
      <c r="H2" s="1"/>
      <c r="I2" s="1" t="str">
        <f>IFERROR(__xludf.DUMMYFUNCTION("ifna(FILTER(MASTER_TERAPIS!B2:B1000, MASTER_TERAPIS!D2:D1000 = ""Ya""),0)"),"bababab")</f>
        <v>bababab</v>
      </c>
      <c r="J2" s="1"/>
      <c r="K2" s="159" t="s">
        <v>509</v>
      </c>
      <c r="L2" s="16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6" t="s">
        <v>314</v>
      </c>
      <c r="B3" s="66" t="s">
        <v>118</v>
      </c>
      <c r="C3" s="66"/>
      <c r="D3" s="66" t="s">
        <v>328</v>
      </c>
      <c r="E3" s="66" t="s">
        <v>328</v>
      </c>
      <c r="F3" s="66">
        <v>0.0</v>
      </c>
      <c r="G3" s="66"/>
      <c r="H3" s="1"/>
      <c r="I3" s="1" t="str">
        <f>IFERROR(__xludf.DUMMYFUNCTION("""COMPUTED_VALUE"""),"Caccaca")</f>
        <v>Caccaca</v>
      </c>
      <c r="J3" s="1"/>
      <c r="K3" s="161"/>
      <c r="L3" s="16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66" t="s">
        <v>315</v>
      </c>
      <c r="B4" s="66" t="s">
        <v>197</v>
      </c>
      <c r="C4" s="66"/>
      <c r="D4" s="66" t="s">
        <v>328</v>
      </c>
      <c r="E4" s="66" t="s">
        <v>328</v>
      </c>
      <c r="F4" s="66">
        <v>0.0</v>
      </c>
      <c r="G4" s="66"/>
      <c r="H4" s="1"/>
      <c r="I4" s="1" t="str">
        <f>IFERROR(__xludf.DUMMYFUNCTION("""COMPUTED_VALUE"""),"ggagaga")</f>
        <v>ggagaga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66" t="s">
        <v>316</v>
      </c>
      <c r="B5" s="66" t="s">
        <v>203</v>
      </c>
      <c r="C5" s="66"/>
      <c r="D5" s="66" t="s">
        <v>328</v>
      </c>
      <c r="E5" s="66" t="s">
        <v>328</v>
      </c>
      <c r="F5" s="66">
        <v>0.0</v>
      </c>
      <c r="G5" s="66"/>
      <c r="H5" s="1"/>
      <c r="I5" s="1" t="str">
        <f>IFERROR(__xludf.DUMMYFUNCTION("""COMPUTED_VALUE"""),"hahaha")</f>
        <v>hahaha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1">
    <mergeCell ref="K2:L3"/>
  </mergeCells>
  <dataValidations>
    <dataValidation type="list" allowBlank="1" showErrorMessage="1" sqref="D2:E500">
      <formula1>"YA,TIDAK"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hidden="1" min="4" max="4" width="20.0"/>
    <col customWidth="1" hidden="1" min="5" max="5" width="14.43"/>
    <col customWidth="1" min="6" max="6" width="14.43"/>
  </cols>
  <sheetData>
    <row r="1" ht="14.25" customHeight="1">
      <c r="A1" s="28" t="s">
        <v>317</v>
      </c>
      <c r="B1" s="28" t="s">
        <v>318</v>
      </c>
      <c r="C1" s="28" t="s">
        <v>325</v>
      </c>
      <c r="D1" s="28" t="s">
        <v>179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66" t="s">
        <v>319</v>
      </c>
      <c r="B2" s="66" t="s">
        <v>320</v>
      </c>
      <c r="C2" s="66" t="s">
        <v>328</v>
      </c>
      <c r="D2" s="66"/>
      <c r="E2" s="1"/>
      <c r="F2" s="1" t="str">
        <f>IFERROR(__xludf.DUMMYFUNCTION("ifna(FILTER(MASTER_SA!B2:B1000, MASTER_SA!C2:C1000 = ""Ya""),0)"),"fhfhfhf")</f>
        <v>fhfhfhf</v>
      </c>
      <c r="G2" s="1"/>
      <c r="H2" s="159" t="s">
        <v>510</v>
      </c>
      <c r="I2" s="16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4.25" customHeight="1">
      <c r="A3" s="66" t="s">
        <v>511</v>
      </c>
      <c r="B3" s="66" t="s">
        <v>512</v>
      </c>
      <c r="C3" s="66" t="s">
        <v>513</v>
      </c>
      <c r="D3" s="66"/>
      <c r="E3" s="1"/>
      <c r="F3" s="1"/>
      <c r="G3" s="1"/>
      <c r="H3" s="161"/>
      <c r="I3" s="16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25" customHeight="1">
      <c r="A4" s="66"/>
      <c r="B4" s="66"/>
      <c r="C4" s="66" t="s">
        <v>513</v>
      </c>
      <c r="D4" s="6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4.25" customHeight="1">
      <c r="A5" s="66"/>
      <c r="B5" s="66"/>
      <c r="C5" s="66" t="s">
        <v>513</v>
      </c>
      <c r="D5" s="6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H2:I3"/>
  </mergeCells>
  <dataValidations>
    <dataValidation type="list" allowBlank="1" showErrorMessage="1" sqref="C2:C500">
      <formula1>"YA,TIDAK"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18.0"/>
    <col customWidth="1" min="4" max="4" width="12.0"/>
    <col customWidth="1" min="5" max="5" width="20.0"/>
    <col customWidth="1" min="6" max="6" width="8.71"/>
  </cols>
  <sheetData>
    <row r="1" ht="14.25" customHeight="1">
      <c r="A1" s="28" t="s">
        <v>514</v>
      </c>
      <c r="B1" s="28" t="s">
        <v>515</v>
      </c>
      <c r="C1" s="28" t="s">
        <v>171</v>
      </c>
      <c r="D1" s="28" t="s">
        <v>325</v>
      </c>
      <c r="E1" s="28" t="s">
        <v>179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66" t="s">
        <v>188</v>
      </c>
      <c r="B2" s="66"/>
      <c r="C2" s="66"/>
      <c r="D2" s="66" t="s">
        <v>328</v>
      </c>
      <c r="E2" s="6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6" t="s">
        <v>516</v>
      </c>
      <c r="B3" s="66" t="s">
        <v>517</v>
      </c>
      <c r="C3" s="66">
        <v>15000.0</v>
      </c>
      <c r="D3" s="66" t="s">
        <v>328</v>
      </c>
      <c r="E3" s="6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66" t="s">
        <v>198</v>
      </c>
      <c r="B4" s="66" t="s">
        <v>518</v>
      </c>
      <c r="C4" s="66">
        <v>25000.0</v>
      </c>
      <c r="D4" s="66" t="s">
        <v>328</v>
      </c>
      <c r="E4" s="6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66" t="s">
        <v>519</v>
      </c>
      <c r="B5" s="66" t="s">
        <v>520</v>
      </c>
      <c r="C5" s="66">
        <v>40000.0</v>
      </c>
      <c r="D5" s="66" t="s">
        <v>328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dataValidations>
    <dataValidation type="list" allowBlank="1" showErrorMessage="1" sqref="D2:D500">
      <formula1>"YA,TIDAK"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6" width="14.0"/>
    <col customWidth="1" min="7" max="7" width="12.0"/>
  </cols>
  <sheetData>
    <row r="1" ht="14.25" customHeight="1">
      <c r="A1" s="28" t="s">
        <v>521</v>
      </c>
      <c r="B1" s="28" t="s">
        <v>522</v>
      </c>
      <c r="C1" s="28" t="s">
        <v>523</v>
      </c>
      <c r="D1" s="28" t="s">
        <v>524</v>
      </c>
      <c r="E1" s="28" t="s">
        <v>525</v>
      </c>
      <c r="F1" s="28" t="s">
        <v>526</v>
      </c>
      <c r="G1" s="28" t="s">
        <v>325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66" t="s">
        <v>188</v>
      </c>
      <c r="B2" s="66" t="s">
        <v>527</v>
      </c>
      <c r="C2" s="66" t="s">
        <v>528</v>
      </c>
      <c r="D2" s="66">
        <v>0.0</v>
      </c>
      <c r="E2" s="66"/>
      <c r="F2" s="66"/>
      <c r="G2" s="66" t="s">
        <v>328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6" t="s">
        <v>529</v>
      </c>
      <c r="B3" s="66" t="s">
        <v>530</v>
      </c>
      <c r="C3" s="66" t="s">
        <v>531</v>
      </c>
      <c r="D3" s="66">
        <v>10.0</v>
      </c>
      <c r="E3" s="66"/>
      <c r="F3" s="66"/>
      <c r="G3" s="66" t="s">
        <v>328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66" t="s">
        <v>532</v>
      </c>
      <c r="B4" s="66" t="s">
        <v>533</v>
      </c>
      <c r="C4" s="66" t="s">
        <v>531</v>
      </c>
      <c r="D4" s="66">
        <v>20.0</v>
      </c>
      <c r="E4" s="66"/>
      <c r="F4" s="66"/>
      <c r="G4" s="66" t="s">
        <v>328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66" t="s">
        <v>534</v>
      </c>
      <c r="B5" s="66" t="s">
        <v>535</v>
      </c>
      <c r="C5" s="66" t="s">
        <v>528</v>
      </c>
      <c r="D5" s="66">
        <v>25000.0</v>
      </c>
      <c r="E5" s="66"/>
      <c r="F5" s="66"/>
      <c r="G5" s="66" t="s">
        <v>328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66" t="s">
        <v>536</v>
      </c>
      <c r="B6" s="66" t="s">
        <v>537</v>
      </c>
      <c r="C6" s="66" t="s">
        <v>528</v>
      </c>
      <c r="D6" s="66">
        <v>50000.0</v>
      </c>
      <c r="E6" s="66"/>
      <c r="F6" s="66"/>
      <c r="G6" s="66" t="s">
        <v>328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dataValidations>
    <dataValidation type="list" allowBlank="1" showErrorMessage="1" sqref="C2:C500">
      <formula1>"PERCENT,NOMINAL"</formula1>
    </dataValidation>
    <dataValidation type="list" allowBlank="1" showErrorMessage="1" sqref="G2:G500">
      <formula1>"YA,TIDAK"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9.14"/>
    <col customWidth="1" min="3" max="3" width="9.43"/>
    <col customWidth="1" min="4" max="4" width="26.43"/>
    <col customWidth="1" min="5" max="6" width="8.71"/>
  </cols>
  <sheetData>
    <row r="1" ht="14.25" customHeight="1">
      <c r="A1" s="28" t="s">
        <v>134</v>
      </c>
      <c r="B1" s="28" t="s">
        <v>538</v>
      </c>
      <c r="C1" s="28" t="s">
        <v>539</v>
      </c>
      <c r="D1" s="28" t="s">
        <v>179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139</v>
      </c>
      <c r="B2" s="1">
        <v>1.0</v>
      </c>
      <c r="C2" s="1">
        <v>1.0</v>
      </c>
      <c r="D2" s="1" t="s">
        <v>540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541</v>
      </c>
      <c r="B3" s="1">
        <v>2.0</v>
      </c>
      <c r="C3" s="1">
        <v>10.0</v>
      </c>
      <c r="D3" s="1" t="s">
        <v>542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543</v>
      </c>
      <c r="B4" s="1">
        <v>11.0</v>
      </c>
      <c r="C4" s="1"/>
      <c r="D4" s="1" t="s">
        <v>544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14.25" customHeight="1">
      <c r="A1" s="1" t="s">
        <v>545</v>
      </c>
      <c r="B1" s="1" t="s">
        <v>546</v>
      </c>
      <c r="C1" s="1" t="s">
        <v>26</v>
      </c>
      <c r="D1" s="1"/>
      <c r="E1" s="1"/>
      <c r="F1" s="1"/>
    </row>
    <row r="2" ht="14.25" customHeight="1">
      <c r="A2" s="1">
        <v>1.0</v>
      </c>
      <c r="B2" s="1">
        <v>1.0</v>
      </c>
      <c r="C2" s="1">
        <v>2026.0</v>
      </c>
      <c r="D2" s="1"/>
      <c r="E2" s="1"/>
      <c r="F2" s="1"/>
    </row>
    <row r="3" ht="14.25" customHeight="1">
      <c r="A3" s="1">
        <v>2.0</v>
      </c>
      <c r="B3" s="1">
        <v>2.0</v>
      </c>
      <c r="C3" s="1">
        <v>2027.0</v>
      </c>
      <c r="D3" s="1"/>
      <c r="E3" s="1"/>
      <c r="F3" s="1"/>
    </row>
    <row r="4" ht="14.25" customHeight="1">
      <c r="A4" s="1">
        <v>3.0</v>
      </c>
      <c r="B4" s="1">
        <v>3.0</v>
      </c>
      <c r="C4" s="1">
        <v>2028.0</v>
      </c>
      <c r="D4" s="1"/>
      <c r="E4" s="1"/>
      <c r="F4" s="1"/>
    </row>
    <row r="5" ht="14.25" customHeight="1">
      <c r="A5" s="1">
        <v>4.0</v>
      </c>
      <c r="B5" s="1">
        <v>4.0</v>
      </c>
      <c r="C5" s="1">
        <v>2029.0</v>
      </c>
      <c r="D5" s="1"/>
      <c r="E5" s="1"/>
      <c r="F5" s="1"/>
    </row>
    <row r="6" ht="14.25" customHeight="1">
      <c r="A6" s="1">
        <v>5.0</v>
      </c>
      <c r="B6" s="1">
        <v>5.0</v>
      </c>
      <c r="C6" s="1">
        <v>2030.0</v>
      </c>
      <c r="D6" s="1"/>
      <c r="E6" s="1"/>
      <c r="F6" s="1"/>
    </row>
    <row r="7" ht="14.25" customHeight="1">
      <c r="A7" s="1">
        <v>6.0</v>
      </c>
      <c r="B7" s="1">
        <v>6.0</v>
      </c>
      <c r="C7" s="1">
        <v>2031.0</v>
      </c>
      <c r="D7" s="1"/>
      <c r="E7" s="1"/>
      <c r="F7" s="1"/>
    </row>
    <row r="8" ht="14.25" customHeight="1">
      <c r="A8" s="1">
        <v>7.0</v>
      </c>
      <c r="B8" s="1">
        <v>7.0</v>
      </c>
      <c r="C8" s="1">
        <v>2032.0</v>
      </c>
      <c r="D8" s="1"/>
      <c r="E8" s="1"/>
      <c r="F8" s="1"/>
    </row>
    <row r="9" ht="14.25" customHeight="1">
      <c r="A9" s="1">
        <v>8.0</v>
      </c>
      <c r="B9" s="1">
        <v>8.0</v>
      </c>
      <c r="C9" s="1">
        <v>2033.0</v>
      </c>
      <c r="D9" s="1"/>
      <c r="E9" s="1"/>
      <c r="F9" s="1"/>
    </row>
    <row r="10" ht="14.25" customHeight="1">
      <c r="A10" s="1">
        <v>9.0</v>
      </c>
      <c r="B10" s="1">
        <v>9.0</v>
      </c>
      <c r="C10" s="1">
        <v>2034.0</v>
      </c>
      <c r="D10" s="1"/>
      <c r="E10" s="1"/>
      <c r="F10" s="1"/>
    </row>
    <row r="11" ht="14.25" customHeight="1">
      <c r="A11" s="1">
        <v>10.0</v>
      </c>
      <c r="B11" s="1">
        <v>10.0</v>
      </c>
      <c r="C11" s="1"/>
      <c r="D11" s="1"/>
      <c r="E11" s="1"/>
      <c r="F11" s="1"/>
    </row>
    <row r="12" ht="14.25" customHeight="1">
      <c r="A12" s="1">
        <v>11.0</v>
      </c>
      <c r="B12" s="1">
        <v>11.0</v>
      </c>
      <c r="C12" s="1"/>
      <c r="D12" s="1"/>
      <c r="E12" s="1"/>
      <c r="F12" s="1"/>
    </row>
    <row r="13" ht="14.25" customHeight="1">
      <c r="A13" s="1">
        <v>12.0</v>
      </c>
      <c r="B13" s="1">
        <v>12.0</v>
      </c>
      <c r="C13" s="1"/>
      <c r="D13" s="1"/>
      <c r="E13" s="1"/>
      <c r="F13" s="1"/>
    </row>
    <row r="14" ht="14.25" customHeight="1">
      <c r="A14" s="1">
        <v>13.0</v>
      </c>
      <c r="B14" s="1"/>
      <c r="C14" s="1"/>
      <c r="D14" s="1"/>
      <c r="E14" s="1"/>
      <c r="F14" s="1"/>
    </row>
    <row r="15" ht="14.25" customHeight="1">
      <c r="A15" s="1">
        <v>14.0</v>
      </c>
      <c r="B15" s="1"/>
      <c r="C15" s="1"/>
      <c r="D15" s="1"/>
      <c r="E15" s="1"/>
      <c r="F15" s="1"/>
    </row>
    <row r="16" ht="14.25" customHeight="1">
      <c r="A16" s="1">
        <v>15.0</v>
      </c>
      <c r="B16" s="1"/>
      <c r="C16" s="1"/>
      <c r="D16" s="1"/>
      <c r="E16" s="1"/>
      <c r="F16" s="1"/>
    </row>
    <row r="17" ht="14.25" customHeight="1">
      <c r="A17" s="1">
        <v>16.0</v>
      </c>
      <c r="B17" s="1"/>
      <c r="C17" s="1"/>
      <c r="D17" s="1"/>
      <c r="E17" s="1"/>
      <c r="F17" s="1"/>
    </row>
    <row r="18" ht="14.25" customHeight="1">
      <c r="A18" s="1">
        <v>17.0</v>
      </c>
      <c r="B18" s="1"/>
      <c r="C18" s="1"/>
      <c r="D18" s="1"/>
      <c r="E18" s="1"/>
      <c r="F18" s="1"/>
    </row>
    <row r="19" ht="14.25" customHeight="1">
      <c r="A19" s="1">
        <v>18.0</v>
      </c>
      <c r="B19" s="1"/>
      <c r="C19" s="1"/>
      <c r="D19" s="1"/>
      <c r="E19" s="1"/>
      <c r="F19" s="1"/>
    </row>
    <row r="20" ht="14.25" customHeight="1">
      <c r="A20" s="1">
        <v>19.0</v>
      </c>
      <c r="B20" s="1"/>
      <c r="C20" s="1"/>
      <c r="D20" s="1"/>
      <c r="E20" s="1"/>
      <c r="F20" s="1"/>
    </row>
    <row r="21" ht="15.75" customHeight="1">
      <c r="A21" s="1">
        <v>20.0</v>
      </c>
      <c r="B21" s="1"/>
      <c r="C21" s="1"/>
      <c r="D21" s="1"/>
      <c r="E21" s="1"/>
      <c r="F21" s="1"/>
    </row>
    <row r="22" ht="15.75" customHeight="1">
      <c r="A22" s="1">
        <v>21.0</v>
      </c>
      <c r="B22" s="1"/>
      <c r="C22" s="1"/>
      <c r="D22" s="1"/>
      <c r="E22" s="1"/>
      <c r="F22" s="1"/>
    </row>
    <row r="23" ht="15.75" customHeight="1">
      <c r="A23" s="1">
        <v>22.0</v>
      </c>
      <c r="B23" s="1"/>
      <c r="C23" s="1"/>
      <c r="D23" s="1"/>
      <c r="E23" s="1"/>
      <c r="F23" s="1"/>
    </row>
    <row r="24" ht="15.75" customHeight="1">
      <c r="A24" s="1">
        <v>23.0</v>
      </c>
      <c r="B24" s="1"/>
      <c r="C24" s="1"/>
      <c r="D24" s="1"/>
      <c r="E24" s="1"/>
      <c r="F24" s="1"/>
    </row>
    <row r="25" ht="15.75" customHeight="1">
      <c r="A25" s="1">
        <v>24.0</v>
      </c>
      <c r="B25" s="1"/>
      <c r="C25" s="1"/>
      <c r="D25" s="1"/>
      <c r="E25" s="1"/>
      <c r="F25" s="1"/>
    </row>
    <row r="26" ht="15.75" customHeight="1">
      <c r="A26" s="1">
        <v>25.0</v>
      </c>
      <c r="B26" s="1"/>
      <c r="C26" s="1"/>
      <c r="D26" s="1"/>
      <c r="E26" s="1"/>
      <c r="F26" s="1"/>
    </row>
    <row r="27" ht="15.75" customHeight="1">
      <c r="A27" s="1">
        <v>26.0</v>
      </c>
      <c r="B27" s="1"/>
      <c r="C27" s="1"/>
      <c r="D27" s="1"/>
      <c r="E27" s="1"/>
      <c r="F27" s="1"/>
    </row>
    <row r="28" ht="15.75" customHeight="1">
      <c r="A28" s="1">
        <v>27.0</v>
      </c>
      <c r="B28" s="1"/>
      <c r="C28" s="1"/>
      <c r="D28" s="1"/>
      <c r="E28" s="1"/>
      <c r="F28" s="1"/>
    </row>
    <row r="29" ht="15.75" customHeight="1">
      <c r="A29" s="1">
        <v>28.0</v>
      </c>
      <c r="B29" s="1"/>
      <c r="C29" s="1"/>
      <c r="D29" s="1"/>
      <c r="E29" s="1"/>
      <c r="F29" s="1"/>
    </row>
    <row r="30" ht="15.75" customHeight="1">
      <c r="A30" s="1">
        <v>29.0</v>
      </c>
      <c r="B30" s="1"/>
      <c r="C30" s="1"/>
      <c r="D30" s="1"/>
      <c r="E30" s="1"/>
      <c r="F30" s="1"/>
    </row>
    <row r="31" ht="15.75" customHeight="1">
      <c r="A31" s="1">
        <v>30.0</v>
      </c>
      <c r="B31" s="1"/>
      <c r="C31" s="1"/>
      <c r="D31" s="1"/>
      <c r="E31" s="1"/>
      <c r="F31" s="1"/>
    </row>
    <row r="32" ht="15.75" customHeight="1">
      <c r="A32" s="1">
        <v>31.0</v>
      </c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5.0"/>
    <col customWidth="1" min="3" max="3" width="60.0"/>
    <col customWidth="1" min="4" max="7" width="20.0"/>
    <col customWidth="1" min="8" max="12" width="8.71"/>
  </cols>
  <sheetData>
    <row r="1" ht="14.25" customHeight="1">
      <c r="A1" s="28" t="s">
        <v>547</v>
      </c>
      <c r="B1" s="28" t="s">
        <v>548</v>
      </c>
      <c r="C1" s="28" t="s">
        <v>549</v>
      </c>
      <c r="D1" s="28" t="s">
        <v>550</v>
      </c>
      <c r="E1" s="28" t="s">
        <v>551</v>
      </c>
      <c r="F1" s="28" t="s">
        <v>552</v>
      </c>
      <c r="G1" s="28" t="s">
        <v>553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66" t="s">
        <v>186</v>
      </c>
      <c r="B2" s="66"/>
      <c r="C2" s="66" t="s">
        <v>187</v>
      </c>
      <c r="D2" s="66" t="s">
        <v>298</v>
      </c>
      <c r="E2" s="66" t="s">
        <v>559</v>
      </c>
      <c r="F2" s="66" t="s">
        <v>517</v>
      </c>
      <c r="G2" s="66" t="s">
        <v>527</v>
      </c>
      <c r="H2" s="1" t="s">
        <v>560</v>
      </c>
      <c r="I2" s="1" t="s">
        <v>139</v>
      </c>
      <c r="J2" s="1" t="s">
        <v>123</v>
      </c>
      <c r="K2" s="1" t="s">
        <v>193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66" t="s">
        <v>195</v>
      </c>
      <c r="B3" s="66" t="s">
        <v>224</v>
      </c>
      <c r="C3" s="66" t="s">
        <v>187</v>
      </c>
      <c r="D3" s="66" t="s">
        <v>561</v>
      </c>
      <c r="E3" s="66" t="s">
        <v>562</v>
      </c>
      <c r="F3" s="66" t="s">
        <v>518</v>
      </c>
      <c r="G3" s="66" t="s">
        <v>530</v>
      </c>
      <c r="H3" s="1" t="s">
        <v>563</v>
      </c>
      <c r="I3" s="1" t="s">
        <v>541</v>
      </c>
      <c r="J3" s="1" t="s">
        <v>229</v>
      </c>
      <c r="K3" s="1" t="s">
        <v>246</v>
      </c>
      <c r="L3" s="1" t="s">
        <v>224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6"/>
      <c r="C4" s="66" t="s">
        <v>187</v>
      </c>
      <c r="D4" s="66" t="s">
        <v>564</v>
      </c>
      <c r="E4" s="66" t="s">
        <v>565</v>
      </c>
      <c r="F4" s="66" t="s">
        <v>520</v>
      </c>
      <c r="G4" s="66" t="s">
        <v>533</v>
      </c>
      <c r="H4" s="1" t="s">
        <v>566</v>
      </c>
      <c r="I4" s="1" t="s">
        <v>543</v>
      </c>
      <c r="J4" s="1" t="s">
        <v>190</v>
      </c>
      <c r="K4" s="1"/>
      <c r="L4" s="1" t="s">
        <v>191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6"/>
      <c r="C5" s="66" t="s">
        <v>187</v>
      </c>
      <c r="D5" s="66" t="s">
        <v>567</v>
      </c>
      <c r="E5" s="1"/>
      <c r="F5" s="1"/>
      <c r="G5" s="66" t="s">
        <v>535</v>
      </c>
      <c r="H5" s="1" t="s">
        <v>568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66" t="s">
        <v>187</v>
      </c>
      <c r="D6" s="1"/>
      <c r="E6" s="1"/>
      <c r="F6" s="1"/>
      <c r="G6" s="66" t="s">
        <v>537</v>
      </c>
      <c r="H6" s="1" t="s">
        <v>569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66" t="s">
        <v>187</v>
      </c>
      <c r="D7" s="1"/>
      <c r="E7" s="1"/>
      <c r="F7" s="1"/>
      <c r="G7" s="1"/>
      <c r="H7" s="1" t="s">
        <v>570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66" t="s">
        <v>187</v>
      </c>
      <c r="D8" s="1"/>
      <c r="E8" s="1"/>
      <c r="F8" s="1"/>
      <c r="G8" s="1"/>
      <c r="H8" s="1" t="s">
        <v>571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66" t="s">
        <v>187</v>
      </c>
      <c r="D9" s="1"/>
      <c r="E9" s="1"/>
      <c r="F9" s="1"/>
      <c r="G9" s="1"/>
      <c r="H9" s="1" t="s">
        <v>572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66" t="s">
        <v>187</v>
      </c>
      <c r="D10" s="1"/>
      <c r="E10" s="1"/>
      <c r="F10" s="1"/>
      <c r="G10" s="1"/>
      <c r="H10" s="1" t="s">
        <v>573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66" t="s">
        <v>187</v>
      </c>
      <c r="D11" s="1"/>
      <c r="E11" s="1"/>
      <c r="F11" s="1"/>
      <c r="G11" s="1"/>
      <c r="H11" s="1" t="s">
        <v>574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66" t="s">
        <v>187</v>
      </c>
      <c r="D12" s="1"/>
      <c r="E12" s="1"/>
      <c r="F12" s="1"/>
      <c r="G12" s="1"/>
      <c r="H12" s="1" t="s">
        <v>575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66" t="s">
        <v>187</v>
      </c>
      <c r="D13" s="1"/>
      <c r="E13" s="1"/>
      <c r="F13" s="1"/>
      <c r="G13" s="1"/>
      <c r="H13" s="1" t="s">
        <v>576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66" t="s">
        <v>187</v>
      </c>
      <c r="D14" s="1"/>
      <c r="E14" s="1"/>
      <c r="F14" s="1"/>
      <c r="G14" s="1"/>
      <c r="H14" s="1" t="s">
        <v>577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66" t="s">
        <v>187</v>
      </c>
      <c r="D15" s="1"/>
      <c r="E15" s="1"/>
      <c r="F15" s="1"/>
      <c r="G15" s="1"/>
      <c r="H15" s="1" t="s">
        <v>578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66" t="s">
        <v>187</v>
      </c>
      <c r="D16" s="1"/>
      <c r="E16" s="1"/>
      <c r="F16" s="1"/>
      <c r="G16" s="1"/>
      <c r="H16" s="1" t="s">
        <v>579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66" t="s">
        <v>187</v>
      </c>
      <c r="D17" s="1"/>
      <c r="E17" s="1"/>
      <c r="F17" s="1"/>
      <c r="G17" s="1"/>
      <c r="H17" s="1" t="s">
        <v>580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66" t="s">
        <v>187</v>
      </c>
      <c r="D18" s="1"/>
      <c r="E18" s="1"/>
      <c r="F18" s="1"/>
      <c r="G18" s="1"/>
      <c r="H18" s="1" t="s">
        <v>581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66" t="s">
        <v>187</v>
      </c>
      <c r="D19" s="1"/>
      <c r="E19" s="1"/>
      <c r="F19" s="1"/>
      <c r="G19" s="1"/>
      <c r="H19" s="1" t="s">
        <v>582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66" t="s">
        <v>187</v>
      </c>
      <c r="D20" s="1"/>
      <c r="E20" s="1"/>
      <c r="F20" s="1"/>
      <c r="G20" s="1"/>
      <c r="H20" s="1" t="s">
        <v>583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6" t="s">
        <v>187</v>
      </c>
      <c r="D21" s="1"/>
      <c r="E21" s="1"/>
      <c r="F21" s="1"/>
      <c r="G21" s="1"/>
      <c r="H21" s="1" t="s">
        <v>584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66" t="s">
        <v>187</v>
      </c>
      <c r="D22" s="1"/>
      <c r="E22" s="1"/>
      <c r="F22" s="1"/>
      <c r="G22" s="1"/>
      <c r="H22" s="1" t="s">
        <v>585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66" t="s">
        <v>187</v>
      </c>
      <c r="D23" s="1"/>
      <c r="E23" s="1"/>
      <c r="F23" s="1"/>
      <c r="G23" s="1"/>
      <c r="H23" s="1" t="s">
        <v>586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66" t="s">
        <v>187</v>
      </c>
      <c r="D24" s="1"/>
      <c r="E24" s="1"/>
      <c r="F24" s="1"/>
      <c r="G24" s="1"/>
      <c r="H24" s="1" t="s">
        <v>587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66" t="s">
        <v>371</v>
      </c>
      <c r="D25" s="1"/>
      <c r="E25" s="1"/>
      <c r="F25" s="1"/>
      <c r="G25" s="1"/>
      <c r="H25" s="1" t="s">
        <v>588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66" t="s">
        <v>371</v>
      </c>
      <c r="D26" s="1"/>
      <c r="E26" s="1"/>
      <c r="F26" s="1"/>
      <c r="G26" s="1"/>
      <c r="H26" s="1" t="s">
        <v>589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66" t="s">
        <v>371</v>
      </c>
      <c r="D27" s="1"/>
      <c r="E27" s="1"/>
      <c r="F27" s="1"/>
      <c r="G27" s="1"/>
      <c r="H27" s="1" t="s">
        <v>590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66" t="s">
        <v>371</v>
      </c>
      <c r="D28" s="1"/>
      <c r="E28" s="1"/>
      <c r="F28" s="1"/>
      <c r="G28" s="1"/>
      <c r="H28" s="1" t="s">
        <v>591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66" t="s">
        <v>371</v>
      </c>
      <c r="D29" s="1"/>
      <c r="E29" s="1"/>
      <c r="F29" s="1"/>
      <c r="G29" s="1"/>
      <c r="H29" s="1" t="s">
        <v>592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66" t="s">
        <v>371</v>
      </c>
      <c r="D30" s="1"/>
      <c r="E30" s="1"/>
      <c r="F30" s="1"/>
      <c r="G30" s="1"/>
      <c r="H30" s="1" t="s">
        <v>593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6" t="s">
        <v>371</v>
      </c>
      <c r="D31" s="1"/>
      <c r="E31" s="1"/>
      <c r="F31" s="1"/>
      <c r="G31" s="1"/>
      <c r="H31" s="1" t="s">
        <v>594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6" t="s">
        <v>371</v>
      </c>
      <c r="D32" s="1"/>
      <c r="E32" s="1"/>
      <c r="F32" s="1"/>
      <c r="G32" s="1"/>
      <c r="H32" s="1" t="s">
        <v>595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6" t="s">
        <v>371</v>
      </c>
      <c r="D33" s="1"/>
      <c r="E33" s="1"/>
      <c r="F33" s="1"/>
      <c r="G33" s="1"/>
      <c r="H33" s="1" t="s">
        <v>596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66" t="s">
        <v>371</v>
      </c>
      <c r="D34" s="1"/>
      <c r="E34" s="1"/>
      <c r="F34" s="1"/>
      <c r="G34" s="1"/>
      <c r="H34" s="1" t="s">
        <v>597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66" t="s">
        <v>371</v>
      </c>
      <c r="D35" s="1"/>
      <c r="E35" s="1"/>
      <c r="F35" s="1"/>
      <c r="G35" s="1"/>
      <c r="H35" s="1" t="s">
        <v>598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66" t="s">
        <v>371</v>
      </c>
      <c r="D36" s="1"/>
      <c r="E36" s="1"/>
      <c r="F36" s="1"/>
      <c r="G36" s="1"/>
      <c r="H36" s="1" t="s">
        <v>599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66" t="s">
        <v>371</v>
      </c>
      <c r="D37" s="1"/>
      <c r="E37" s="1"/>
      <c r="F37" s="1"/>
      <c r="G37" s="1"/>
      <c r="H37" s="1" t="s">
        <v>600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66" t="s">
        <v>371</v>
      </c>
      <c r="D38" s="1"/>
      <c r="E38" s="1"/>
      <c r="F38" s="1"/>
      <c r="G38" s="1"/>
      <c r="H38" s="1" t="s">
        <v>601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66" t="s">
        <v>371</v>
      </c>
      <c r="D39" s="1"/>
      <c r="E39" s="1"/>
      <c r="F39" s="1"/>
      <c r="G39" s="1"/>
      <c r="H39" s="1" t="s">
        <v>602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66" t="s">
        <v>371</v>
      </c>
      <c r="D40" s="1"/>
      <c r="E40" s="1"/>
      <c r="F40" s="1"/>
      <c r="G40" s="1"/>
      <c r="H40" s="1" t="s">
        <v>603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66" t="s">
        <v>371</v>
      </c>
      <c r="D41" s="1"/>
      <c r="E41" s="1"/>
      <c r="F41" s="1"/>
      <c r="G41" s="1"/>
      <c r="H41" s="1" t="s">
        <v>604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66" t="s">
        <v>406</v>
      </c>
      <c r="D42" s="1"/>
      <c r="E42" s="1"/>
      <c r="F42" s="1"/>
      <c r="G42" s="1"/>
      <c r="H42" s="1" t="s">
        <v>605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66" t="s">
        <v>406</v>
      </c>
      <c r="D43" s="1"/>
      <c r="E43" s="1"/>
      <c r="F43" s="1"/>
      <c r="G43" s="1"/>
      <c r="H43" s="1" t="s">
        <v>606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66" t="s">
        <v>406</v>
      </c>
      <c r="D44" s="1"/>
      <c r="E44" s="1"/>
      <c r="F44" s="1"/>
      <c r="G44" s="1"/>
      <c r="H44" s="1" t="s">
        <v>607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66" t="s">
        <v>406</v>
      </c>
      <c r="D45" s="1"/>
      <c r="E45" s="1"/>
      <c r="F45" s="1"/>
      <c r="G45" s="1"/>
      <c r="H45" s="1" t="s">
        <v>608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66" t="s">
        <v>406</v>
      </c>
      <c r="D46" s="1"/>
      <c r="E46" s="1"/>
      <c r="F46" s="1"/>
      <c r="G46" s="1"/>
      <c r="H46" s="1" t="s">
        <v>609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66" t="s">
        <v>406</v>
      </c>
      <c r="D47" s="1"/>
      <c r="E47" s="1"/>
      <c r="F47" s="1"/>
      <c r="G47" s="1"/>
      <c r="H47" s="1" t="s">
        <v>610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66" t="s">
        <v>406</v>
      </c>
      <c r="D48" s="1"/>
      <c r="E48" s="1"/>
      <c r="F48" s="1"/>
      <c r="G48" s="1"/>
      <c r="H48" s="1" t="s">
        <v>611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66" t="s">
        <v>406</v>
      </c>
      <c r="D49" s="1"/>
      <c r="E49" s="1"/>
      <c r="F49" s="1"/>
      <c r="G49" s="1"/>
      <c r="H49" s="1" t="s">
        <v>612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66" t="s">
        <v>406</v>
      </c>
      <c r="D50" s="1"/>
      <c r="E50" s="1"/>
      <c r="F50" s="1"/>
      <c r="G50" s="1"/>
      <c r="H50" s="1" t="s">
        <v>613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66" t="s">
        <v>406</v>
      </c>
      <c r="D51" s="1"/>
      <c r="E51" s="1"/>
      <c r="F51" s="1"/>
      <c r="G51" s="1"/>
      <c r="H51" s="1" t="s">
        <v>614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66" t="s">
        <v>406</v>
      </c>
      <c r="D52" s="1"/>
      <c r="E52" s="1"/>
      <c r="F52" s="1"/>
      <c r="G52" s="1"/>
      <c r="H52" s="1" t="s">
        <v>615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66" t="s">
        <v>406</v>
      </c>
      <c r="D53" s="1"/>
      <c r="E53" s="1"/>
      <c r="F53" s="1"/>
      <c r="G53" s="1"/>
      <c r="H53" s="1" t="s">
        <v>616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66" t="s">
        <v>406</v>
      </c>
      <c r="D54" s="1"/>
      <c r="E54" s="1"/>
      <c r="F54" s="1"/>
      <c r="G54" s="1"/>
      <c r="H54" s="1" t="s">
        <v>617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66" t="s">
        <v>432</v>
      </c>
      <c r="D55" s="1"/>
      <c r="E55" s="1"/>
      <c r="F55" s="1"/>
      <c r="G55" s="1"/>
      <c r="H55" s="1" t="s">
        <v>618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66" t="s">
        <v>432</v>
      </c>
      <c r="D56" s="1"/>
      <c r="E56" s="1"/>
      <c r="F56" s="1"/>
      <c r="G56" s="1"/>
      <c r="H56" s="1" t="s">
        <v>619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66" t="s">
        <v>432</v>
      </c>
      <c r="D57" s="1"/>
      <c r="E57" s="1"/>
      <c r="F57" s="1"/>
      <c r="G57" s="1"/>
      <c r="H57" s="1" t="s">
        <v>620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66" t="s">
        <v>432</v>
      </c>
      <c r="D58" s="1"/>
      <c r="E58" s="1"/>
      <c r="F58" s="1"/>
      <c r="G58" s="1"/>
      <c r="H58" s="1" t="s">
        <v>621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66" t="s">
        <v>432</v>
      </c>
      <c r="D59" s="1"/>
      <c r="E59" s="1"/>
      <c r="F59" s="1"/>
      <c r="G59" s="1"/>
      <c r="H59" s="1" t="s">
        <v>622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66" t="s">
        <v>432</v>
      </c>
      <c r="D60" s="1"/>
      <c r="E60" s="1"/>
      <c r="F60" s="1"/>
      <c r="G60" s="1"/>
      <c r="H60" s="1" t="s">
        <v>623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66" t="s">
        <v>432</v>
      </c>
      <c r="D61" s="1"/>
      <c r="E61" s="1"/>
      <c r="F61" s="1"/>
      <c r="G61" s="1"/>
      <c r="H61" s="1" t="s">
        <v>624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66" t="s">
        <v>432</v>
      </c>
      <c r="D62" s="1"/>
      <c r="E62" s="1"/>
      <c r="F62" s="1"/>
      <c r="G62" s="1"/>
      <c r="H62" s="1" t="s">
        <v>625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66" t="s">
        <v>432</v>
      </c>
      <c r="D63" s="1"/>
      <c r="E63" s="1"/>
      <c r="F63" s="1"/>
      <c r="G63" s="1"/>
      <c r="H63" s="1" t="s">
        <v>626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66" t="s">
        <v>432</v>
      </c>
      <c r="D64" s="1"/>
      <c r="E64" s="1"/>
      <c r="F64" s="1"/>
      <c r="G64" s="1"/>
      <c r="H64" s="1" t="s">
        <v>627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66" t="s">
        <v>432</v>
      </c>
      <c r="D65" s="1"/>
      <c r="E65" s="1"/>
      <c r="F65" s="1"/>
      <c r="G65" s="1"/>
      <c r="H65" s="1" t="s">
        <v>628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66" t="s">
        <v>432</v>
      </c>
      <c r="D66" s="1"/>
      <c r="E66" s="1"/>
      <c r="F66" s="1"/>
      <c r="G66" s="1"/>
      <c r="H66" s="1" t="s">
        <v>629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66" t="s">
        <v>432</v>
      </c>
      <c r="D67" s="1"/>
      <c r="E67" s="1"/>
      <c r="F67" s="1"/>
      <c r="G67" s="1"/>
      <c r="H67" s="1" t="s">
        <v>630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66" t="s">
        <v>432</v>
      </c>
      <c r="D68" s="1"/>
      <c r="E68" s="1"/>
      <c r="F68" s="1"/>
      <c r="G68" s="1"/>
      <c r="H68" s="1" t="s">
        <v>631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66" t="s">
        <v>432</v>
      </c>
      <c r="D69" s="1"/>
      <c r="E69" s="1"/>
      <c r="F69" s="1"/>
      <c r="G69" s="1"/>
      <c r="H69" s="1" t="s">
        <v>632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66" t="s">
        <v>432</v>
      </c>
      <c r="D70" s="1"/>
      <c r="E70" s="1"/>
      <c r="F70" s="1"/>
      <c r="G70" s="1"/>
      <c r="H70" s="1" t="s">
        <v>633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66" t="s">
        <v>432</v>
      </c>
      <c r="D71" s="1"/>
      <c r="E71" s="1"/>
      <c r="F71" s="1"/>
      <c r="G71" s="1"/>
      <c r="H71" s="1" t="s">
        <v>634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66" t="s">
        <v>432</v>
      </c>
      <c r="D72" s="1"/>
      <c r="E72" s="1"/>
      <c r="F72" s="1"/>
      <c r="G72" s="1"/>
      <c r="H72" s="1" t="s">
        <v>635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66" t="s">
        <v>432</v>
      </c>
      <c r="D73" s="1"/>
      <c r="E73" s="1"/>
      <c r="F73" s="1"/>
      <c r="G73" s="1"/>
      <c r="H73" s="1" t="s">
        <v>636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66" t="s">
        <v>432</v>
      </c>
      <c r="D74" s="1"/>
      <c r="E74" s="1"/>
      <c r="F74" s="1"/>
      <c r="G74" s="1"/>
      <c r="H74" s="1" t="s">
        <v>637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66" t="s">
        <v>432</v>
      </c>
      <c r="D75" s="1"/>
      <c r="E75" s="1"/>
      <c r="F75" s="1"/>
      <c r="G75" s="1"/>
      <c r="H75" s="1" t="s">
        <v>638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66" t="s">
        <v>432</v>
      </c>
      <c r="D76" s="1"/>
      <c r="E76" s="1"/>
      <c r="F76" s="1"/>
      <c r="G76" s="1"/>
      <c r="H76" s="1" t="s">
        <v>639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66" t="s">
        <v>196</v>
      </c>
      <c r="D77" s="1"/>
      <c r="E77" s="1"/>
      <c r="F77" s="1"/>
      <c r="G77" s="1"/>
      <c r="H77" s="1" t="s">
        <v>640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66" t="s">
        <v>196</v>
      </c>
      <c r="D78" s="1"/>
      <c r="E78" s="1"/>
      <c r="F78" s="1"/>
      <c r="G78" s="1"/>
      <c r="H78" s="1" t="s">
        <v>641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66" t="s">
        <v>196</v>
      </c>
      <c r="D79" s="1"/>
      <c r="E79" s="1"/>
      <c r="F79" s="1"/>
      <c r="G79" s="1"/>
      <c r="H79" s="1" t="s">
        <v>642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66" t="s">
        <v>196</v>
      </c>
      <c r="D80" s="1"/>
      <c r="E80" s="1"/>
      <c r="F80" s="1"/>
      <c r="G80" s="1"/>
      <c r="H80" s="1" t="s">
        <v>643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66" t="s">
        <v>196</v>
      </c>
      <c r="D81" s="1"/>
      <c r="E81" s="1"/>
      <c r="F81" s="1"/>
      <c r="G81" s="1"/>
      <c r="H81" s="1" t="s">
        <v>644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66" t="s">
        <v>196</v>
      </c>
      <c r="D82" s="1"/>
      <c r="E82" s="1"/>
      <c r="F82" s="1"/>
      <c r="G82" s="1"/>
      <c r="H82" s="1" t="s">
        <v>645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66" t="s">
        <v>196</v>
      </c>
      <c r="D83" s="1"/>
      <c r="E83" s="1"/>
      <c r="F83" s="1"/>
      <c r="G83" s="1"/>
      <c r="H83" s="1" t="s">
        <v>646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66" t="s">
        <v>196</v>
      </c>
      <c r="D84" s="1"/>
      <c r="E84" s="1"/>
      <c r="F84" s="1"/>
      <c r="G84" s="1"/>
      <c r="H84" s="1" t="s">
        <v>647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66" t="s">
        <v>196</v>
      </c>
      <c r="D85" s="1"/>
      <c r="E85" s="1"/>
      <c r="F85" s="1"/>
      <c r="G85" s="1"/>
      <c r="H85" s="1" t="s">
        <v>648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66" t="s">
        <v>196</v>
      </c>
      <c r="D86" s="1"/>
      <c r="E86" s="1"/>
      <c r="F86" s="1"/>
      <c r="G86" s="1"/>
      <c r="H86" s="1" t="s">
        <v>649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66" t="s">
        <v>196</v>
      </c>
      <c r="D87" s="1"/>
      <c r="E87" s="1"/>
      <c r="F87" s="1"/>
      <c r="G87" s="1"/>
      <c r="H87" s="1" t="s">
        <v>650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66" t="s">
        <v>196</v>
      </c>
      <c r="D88" s="1"/>
      <c r="E88" s="1"/>
      <c r="F88" s="1"/>
      <c r="G88" s="1"/>
      <c r="H88" s="1" t="s">
        <v>651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66" t="s">
        <v>196</v>
      </c>
      <c r="D89" s="1"/>
      <c r="E89" s="1"/>
      <c r="F89" s="1"/>
      <c r="G89" s="1"/>
      <c r="H89" s="1" t="s">
        <v>652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66" t="s">
        <v>196</v>
      </c>
      <c r="D90" s="1"/>
      <c r="E90" s="1"/>
      <c r="F90" s="1"/>
      <c r="G90" s="1"/>
      <c r="H90" s="1" t="s">
        <v>653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66" t="s">
        <v>196</v>
      </c>
      <c r="D91" s="1"/>
      <c r="E91" s="1"/>
      <c r="F91" s="1"/>
      <c r="G91" s="1"/>
      <c r="H91" s="1" t="s">
        <v>654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66" t="s">
        <v>196</v>
      </c>
      <c r="D92" s="1"/>
      <c r="E92" s="1"/>
      <c r="F92" s="1"/>
      <c r="G92" s="1"/>
      <c r="H92" s="1" t="s">
        <v>655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 t="s">
        <v>656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 t="s">
        <v>657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 t="s">
        <v>658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 t="s">
        <v>659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 t="s">
        <v>660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 t="s">
        <v>661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 t="s">
        <v>662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 t="s">
        <v>663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 t="s">
        <v>664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 t="s">
        <v>665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 t="s">
        <v>666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 t="s">
        <v>667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 t="s">
        <v>668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 t="s">
        <v>669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 t="s">
        <v>670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 t="s">
        <v>671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 t="s">
        <v>672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 t="s">
        <v>673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 t="s">
        <v>674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 t="s">
        <v>675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 t="s">
        <v>676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 t="s">
        <v>677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 t="s">
        <v>678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 t="s">
        <v>679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 t="s">
        <v>680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 t="s">
        <v>681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 t="s">
        <v>682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 t="s">
        <v>683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 t="s">
        <v>684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 t="s">
        <v>685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 t="s">
        <v>686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 t="s">
        <v>687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 t="s">
        <v>688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 t="s">
        <v>689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 t="s">
        <v>690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 t="s">
        <v>691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 t="s">
        <v>692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 t="s">
        <v>693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 t="s">
        <v>694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 t="s">
        <v>695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 t="s">
        <v>696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 t="s">
        <v>697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 t="s">
        <v>698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 t="s">
        <v>699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 t="s">
        <v>700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 t="s">
        <v>701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 t="s">
        <v>702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 t="s">
        <v>703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 t="s">
        <v>704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 t="s">
        <v>705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 t="s">
        <v>706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 t="s">
        <v>707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 t="s">
        <v>708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 t="s">
        <v>709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40.0"/>
    <col customWidth="1" min="4" max="4" width="8.71"/>
    <col customWidth="1" min="5" max="5" width="24.0"/>
    <col customWidth="1" min="6" max="6" width="16.0"/>
  </cols>
  <sheetData>
    <row r="1" ht="23.25" customHeight="1">
      <c r="A1" s="143" t="s">
        <v>710</v>
      </c>
      <c r="B1" s="42"/>
      <c r="C1" s="42"/>
      <c r="D1" s="42"/>
      <c r="E1" s="42"/>
      <c r="F1" s="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46" t="s">
        <v>711</v>
      </c>
      <c r="B3" s="146" t="s">
        <v>712</v>
      </c>
      <c r="C3" s="146" t="s">
        <v>179</v>
      </c>
      <c r="D3" s="1"/>
      <c r="E3" s="146" t="s">
        <v>204</v>
      </c>
      <c r="F3" s="146" t="s">
        <v>206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74" t="s">
        <v>713</v>
      </c>
      <c r="B4" s="66" t="s">
        <v>714</v>
      </c>
      <c r="C4" s="66" t="s">
        <v>715</v>
      </c>
      <c r="D4" s="1"/>
      <c r="E4" s="66" t="s">
        <v>716</v>
      </c>
      <c r="F4" s="66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4" t="s">
        <v>717</v>
      </c>
      <c r="B5" s="66" t="s">
        <v>718</v>
      </c>
      <c r="C5" s="66"/>
      <c r="D5" s="1"/>
      <c r="E5" s="66" t="s">
        <v>719</v>
      </c>
      <c r="F5" s="66" t="s">
        <v>213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4" t="s">
        <v>720</v>
      </c>
      <c r="B6" s="121" t="s">
        <v>721</v>
      </c>
      <c r="C6" s="66" t="s">
        <v>722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4" t="s">
        <v>723</v>
      </c>
      <c r="B7" s="66" t="s">
        <v>724</v>
      </c>
      <c r="C7" s="66" t="s">
        <v>725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4" t="s">
        <v>726</v>
      </c>
      <c r="B8" s="66" t="s">
        <v>560</v>
      </c>
      <c r="C8" s="6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4" t="s">
        <v>727</v>
      </c>
      <c r="B9" s="66" t="s">
        <v>709</v>
      </c>
      <c r="C9" s="6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4" t="s">
        <v>728</v>
      </c>
      <c r="B10" s="66" t="s">
        <v>729</v>
      </c>
      <c r="C10" s="66" t="s">
        <v>730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4" t="s">
        <v>731</v>
      </c>
      <c r="B11" s="66" t="s">
        <v>732</v>
      </c>
      <c r="C11" s="6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4" t="s">
        <v>733</v>
      </c>
      <c r="B12" s="66">
        <v>15000.0</v>
      </c>
      <c r="C12" s="6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4" t="s">
        <v>734</v>
      </c>
      <c r="B13" s="66">
        <v>25000.0</v>
      </c>
      <c r="C13" s="6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4" t="s">
        <v>735</v>
      </c>
      <c r="B14" s="66">
        <v>35000.0</v>
      </c>
      <c r="C14" s="6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A1:F1"/>
  </mergeCells>
  <dataValidations>
    <dataValidation type="list" allowBlank="1" showErrorMessage="1" sqref="B7">
      <formula1>"LIVE,DEMO"</formula1>
    </dataValidation>
    <dataValidation type="list" allowBlank="1" showErrorMessage="1" sqref="B6">
      <formula1>"Soft Rose,Sage Luxury"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72.0"/>
    <col customWidth="1" min="3" max="6" width="8.71"/>
  </cols>
  <sheetData>
    <row r="1" ht="23.25" customHeight="1">
      <c r="A1" s="143" t="s">
        <v>736</v>
      </c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8.5" customHeight="1">
      <c r="A3" s="74" t="s">
        <v>737</v>
      </c>
      <c r="B3" s="31" t="s">
        <v>738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74" t="s">
        <v>739</v>
      </c>
      <c r="B4" s="31" t="s">
        <v>740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74" t="s">
        <v>741</v>
      </c>
      <c r="B5" s="31" t="s">
        <v>742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4" t="s">
        <v>743</v>
      </c>
      <c r="B6" s="31" t="s">
        <v>744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4" t="s">
        <v>745</v>
      </c>
      <c r="B7" s="31" t="s">
        <v>746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20.0"/>
    <col customWidth="1" min="4" max="4" width="60.0"/>
    <col customWidth="1" min="5" max="6" width="8.71"/>
  </cols>
  <sheetData>
    <row r="1" ht="14.25" customHeight="1">
      <c r="A1" s="1" t="s">
        <v>747</v>
      </c>
      <c r="B1" s="1" t="s">
        <v>748</v>
      </c>
      <c r="C1" s="1" t="s">
        <v>749</v>
      </c>
      <c r="D1" s="1" t="s">
        <v>750</v>
      </c>
      <c r="E1" s="1" t="s">
        <v>157</v>
      </c>
      <c r="F1" s="1" t="s">
        <v>751</v>
      </c>
      <c r="G1" s="1" t="s">
        <v>752</v>
      </c>
      <c r="H1" s="1" t="s">
        <v>753</v>
      </c>
      <c r="I1" s="1" t="s">
        <v>754</v>
      </c>
      <c r="J1" s="1" t="s">
        <v>755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63">
        <v>46105.2586315162</v>
      </c>
      <c r="B2" s="1" t="s">
        <v>10</v>
      </c>
      <c r="C2" s="1" t="s">
        <v>13</v>
      </c>
      <c r="D2" s="1" t="s">
        <v>756</v>
      </c>
      <c r="E2" s="1"/>
      <c r="F2" s="1" t="s">
        <v>8</v>
      </c>
      <c r="G2" s="1"/>
      <c r="H2" s="1"/>
      <c r="I2" s="1"/>
      <c r="J2" s="1" t="s">
        <v>757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63">
        <v>46105.26023181713</v>
      </c>
      <c r="B3" s="1" t="s">
        <v>10</v>
      </c>
      <c r="C3" s="1" t="s">
        <v>13</v>
      </c>
      <c r="D3" s="1" t="s">
        <v>16</v>
      </c>
      <c r="E3" s="1"/>
      <c r="F3" s="1" t="s">
        <v>8</v>
      </c>
      <c r="G3" s="1"/>
      <c r="H3" s="1"/>
      <c r="I3" s="1"/>
      <c r="J3" s="1" t="s">
        <v>758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63">
        <v>46105.26053952546</v>
      </c>
      <c r="B4" s="1" t="s">
        <v>10</v>
      </c>
      <c r="C4" s="1" t="s">
        <v>13</v>
      </c>
      <c r="D4" s="1" t="s">
        <v>756</v>
      </c>
      <c r="E4" s="1"/>
      <c r="F4" s="1" t="s">
        <v>8</v>
      </c>
      <c r="G4" s="1"/>
      <c r="H4" s="1"/>
      <c r="I4" s="1"/>
      <c r="J4" s="1" t="s">
        <v>757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63">
        <v>46105.3012860301</v>
      </c>
      <c r="B5" s="1" t="s">
        <v>10</v>
      </c>
      <c r="C5" s="1" t="s">
        <v>13</v>
      </c>
      <c r="D5" s="1" t="s">
        <v>759</v>
      </c>
      <c r="E5" s="1" t="s">
        <v>760</v>
      </c>
      <c r="F5" s="1" t="s">
        <v>761</v>
      </c>
      <c r="G5" s="1">
        <v>6.0</v>
      </c>
      <c r="H5" s="1"/>
      <c r="I5" s="1" t="s">
        <v>762</v>
      </c>
      <c r="J5" s="1" t="s">
        <v>763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63">
        <v>46104.85161428241</v>
      </c>
      <c r="B6" s="1" t="s">
        <v>10</v>
      </c>
      <c r="C6" s="1" t="s">
        <v>13</v>
      </c>
      <c r="D6" s="1" t="s">
        <v>756</v>
      </c>
      <c r="E6" s="1"/>
      <c r="F6" s="1" t="s">
        <v>8</v>
      </c>
      <c r="G6" s="1"/>
      <c r="H6" s="1"/>
      <c r="I6" s="1"/>
      <c r="J6" s="1" t="s">
        <v>757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63">
        <v>46104.85289831019</v>
      </c>
      <c r="B7" s="1" t="s">
        <v>10</v>
      </c>
      <c r="C7" s="1" t="s">
        <v>13</v>
      </c>
      <c r="D7" s="1" t="s">
        <v>764</v>
      </c>
      <c r="E7" s="1" t="s">
        <v>760</v>
      </c>
      <c r="F7" s="1" t="s">
        <v>761</v>
      </c>
      <c r="G7" s="1">
        <v>6.0</v>
      </c>
      <c r="H7" s="1" t="s">
        <v>765</v>
      </c>
      <c r="I7" s="1" t="s">
        <v>766</v>
      </c>
      <c r="J7" s="1" t="s">
        <v>767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63">
        <v>46104.85300128472</v>
      </c>
      <c r="B8" s="1" t="s">
        <v>10</v>
      </c>
      <c r="C8" s="1" t="s">
        <v>13</v>
      </c>
      <c r="D8" s="1" t="s">
        <v>768</v>
      </c>
      <c r="E8" s="1" t="s">
        <v>760</v>
      </c>
      <c r="F8" s="1" t="s">
        <v>761</v>
      </c>
      <c r="G8" s="1">
        <v>6.0</v>
      </c>
      <c r="H8" s="1" t="s">
        <v>769</v>
      </c>
      <c r="I8" s="1" t="s">
        <v>770</v>
      </c>
      <c r="J8" s="1" t="s">
        <v>771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63">
        <v>46104.85376221065</v>
      </c>
      <c r="B9" s="1" t="s">
        <v>10</v>
      </c>
      <c r="C9" s="1" t="s">
        <v>13</v>
      </c>
      <c r="D9" s="1" t="s">
        <v>759</v>
      </c>
      <c r="E9" s="1" t="s">
        <v>760</v>
      </c>
      <c r="F9" s="1" t="s">
        <v>761</v>
      </c>
      <c r="G9" s="1">
        <v>7.0</v>
      </c>
      <c r="H9" s="1"/>
      <c r="I9" s="1" t="s">
        <v>762</v>
      </c>
      <c r="J9" s="1" t="s">
        <v>763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63">
        <v>46104.85431512731</v>
      </c>
      <c r="B10" s="1" t="s">
        <v>10</v>
      </c>
      <c r="C10" s="1" t="s">
        <v>13</v>
      </c>
      <c r="D10" s="1" t="s">
        <v>759</v>
      </c>
      <c r="E10" s="1" t="s">
        <v>772</v>
      </c>
      <c r="F10" s="1" t="s">
        <v>761</v>
      </c>
      <c r="G10" s="1">
        <v>2.0</v>
      </c>
      <c r="H10" s="1"/>
      <c r="I10" s="1" t="s">
        <v>762</v>
      </c>
      <c r="J10" s="1" t="s">
        <v>763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63">
        <v>46104.85508752314</v>
      </c>
      <c r="B11" s="1" t="s">
        <v>10</v>
      </c>
      <c r="C11" s="1" t="s">
        <v>13</v>
      </c>
      <c r="D11" s="1" t="s">
        <v>759</v>
      </c>
      <c r="E11" s="1" t="s">
        <v>773</v>
      </c>
      <c r="F11" s="1" t="s">
        <v>761</v>
      </c>
      <c r="G11" s="1">
        <v>3.0</v>
      </c>
      <c r="H11" s="1"/>
      <c r="I11" s="1" t="s">
        <v>762</v>
      </c>
      <c r="J11" s="1" t="s">
        <v>763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63">
        <v>46104.85625381945</v>
      </c>
      <c r="B12" s="1" t="s">
        <v>10</v>
      </c>
      <c r="C12" s="1" t="s">
        <v>13</v>
      </c>
      <c r="D12" s="1" t="s">
        <v>768</v>
      </c>
      <c r="E12" s="1" t="s">
        <v>772</v>
      </c>
      <c r="F12" s="1" t="s">
        <v>761</v>
      </c>
      <c r="G12" s="1">
        <v>2.0</v>
      </c>
      <c r="H12" s="1" t="s">
        <v>774</v>
      </c>
      <c r="I12" s="1" t="s">
        <v>775</v>
      </c>
      <c r="J12" s="1" t="s">
        <v>771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63">
        <v>46104.85636940972</v>
      </c>
      <c r="B13" s="1" t="s">
        <v>10</v>
      </c>
      <c r="C13" s="1" t="s">
        <v>13</v>
      </c>
      <c r="D13" s="1" t="s">
        <v>764</v>
      </c>
      <c r="E13" s="1" t="s">
        <v>772</v>
      </c>
      <c r="F13" s="1" t="s">
        <v>761</v>
      </c>
      <c r="G13" s="1">
        <v>2.0</v>
      </c>
      <c r="H13" s="1" t="s">
        <v>776</v>
      </c>
      <c r="I13" s="1" t="s">
        <v>766</v>
      </c>
      <c r="J13" s="1" t="s">
        <v>767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63">
        <v>46104.85648266203</v>
      </c>
      <c r="B14" s="1" t="s">
        <v>10</v>
      </c>
      <c r="C14" s="1" t="s">
        <v>13</v>
      </c>
      <c r="D14" s="1" t="s">
        <v>768</v>
      </c>
      <c r="E14" s="1" t="s">
        <v>772</v>
      </c>
      <c r="F14" s="1" t="s">
        <v>761</v>
      </c>
      <c r="G14" s="1">
        <v>2.0</v>
      </c>
      <c r="H14" s="1" t="s">
        <v>770</v>
      </c>
      <c r="I14" s="1" t="s">
        <v>770</v>
      </c>
      <c r="J14" s="1" t="s">
        <v>771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63">
        <v>46104.85689646991</v>
      </c>
      <c r="B15" s="1" t="s">
        <v>10</v>
      </c>
      <c r="C15" s="1" t="s">
        <v>13</v>
      </c>
      <c r="D15" s="1" t="s">
        <v>777</v>
      </c>
      <c r="E15" s="1"/>
      <c r="F15" s="1" t="s">
        <v>778</v>
      </c>
      <c r="G15" s="1"/>
      <c r="H15" s="1"/>
      <c r="I15" s="1"/>
      <c r="J15" s="1" t="s">
        <v>779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63">
        <v>46104.86911809028</v>
      </c>
      <c r="B16" s="1" t="s">
        <v>10</v>
      </c>
      <c r="C16" s="1" t="s">
        <v>13</v>
      </c>
      <c r="D16" s="1" t="s">
        <v>764</v>
      </c>
      <c r="E16" s="1" t="s">
        <v>773</v>
      </c>
      <c r="F16" s="1" t="s">
        <v>761</v>
      </c>
      <c r="G16" s="1">
        <v>3.0</v>
      </c>
      <c r="H16" s="1" t="s">
        <v>780</v>
      </c>
      <c r="I16" s="1" t="s">
        <v>766</v>
      </c>
      <c r="J16" s="1" t="s">
        <v>767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63">
        <v>46104.86926444445</v>
      </c>
      <c r="B17" s="1" t="s">
        <v>10</v>
      </c>
      <c r="C17" s="1" t="s">
        <v>13</v>
      </c>
      <c r="D17" s="1" t="s">
        <v>768</v>
      </c>
      <c r="E17" s="1" t="s">
        <v>773</v>
      </c>
      <c r="F17" s="1" t="s">
        <v>761</v>
      </c>
      <c r="G17" s="1">
        <v>3.0</v>
      </c>
      <c r="H17" s="1" t="s">
        <v>781</v>
      </c>
      <c r="I17" s="1" t="s">
        <v>770</v>
      </c>
      <c r="J17" s="1" t="s">
        <v>771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64">
        <v>46105.82800969907</v>
      </c>
      <c r="B18" s="1" t="s">
        <v>10</v>
      </c>
      <c r="C18" s="1" t="s">
        <v>13</v>
      </c>
      <c r="D18" s="1" t="s">
        <v>756</v>
      </c>
      <c r="E18" s="1"/>
      <c r="F18" s="1" t="s">
        <v>8</v>
      </c>
      <c r="G18" s="1"/>
      <c r="H18" s="1"/>
      <c r="I18" s="1"/>
      <c r="J18" s="1" t="s">
        <v>757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64">
        <v>46105.82897804398</v>
      </c>
      <c r="B19" s="1" t="s">
        <v>10</v>
      </c>
      <c r="C19" s="1" t="s">
        <v>13</v>
      </c>
      <c r="D19" s="1" t="s">
        <v>759</v>
      </c>
      <c r="E19" s="1" t="s">
        <v>185</v>
      </c>
      <c r="F19" s="1" t="s">
        <v>761</v>
      </c>
      <c r="G19" s="1">
        <v>4.0</v>
      </c>
      <c r="H19" s="1"/>
      <c r="I19" s="1" t="s">
        <v>762</v>
      </c>
      <c r="J19" s="1" t="s">
        <v>763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4">
        <v>46105.83356244213</v>
      </c>
      <c r="B20" s="1" t="s">
        <v>10</v>
      </c>
      <c r="C20" s="1" t="s">
        <v>13</v>
      </c>
      <c r="D20" s="1" t="s">
        <v>759</v>
      </c>
      <c r="E20" s="1" t="s">
        <v>194</v>
      </c>
      <c r="F20" s="1" t="s">
        <v>761</v>
      </c>
      <c r="G20" s="1">
        <v>5.0</v>
      </c>
      <c r="H20" s="1"/>
      <c r="I20" s="1" t="s">
        <v>762</v>
      </c>
      <c r="J20" s="1" t="s">
        <v>763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64">
        <v>46105.83461462963</v>
      </c>
      <c r="B21" s="1" t="s">
        <v>10</v>
      </c>
      <c r="C21" s="1" t="s">
        <v>13</v>
      </c>
      <c r="D21" s="1" t="s">
        <v>764</v>
      </c>
      <c r="E21" s="1" t="s">
        <v>194</v>
      </c>
      <c r="F21" s="1" t="s">
        <v>761</v>
      </c>
      <c r="G21" s="1">
        <v>5.0</v>
      </c>
      <c r="H21" s="1" t="s">
        <v>782</v>
      </c>
      <c r="I21" s="1" t="s">
        <v>766</v>
      </c>
      <c r="J21" s="1" t="s">
        <v>783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64">
        <v>46105.83476521991</v>
      </c>
      <c r="B22" s="1" t="s">
        <v>10</v>
      </c>
      <c r="C22" s="1" t="s">
        <v>13</v>
      </c>
      <c r="D22" s="1" t="s">
        <v>768</v>
      </c>
      <c r="E22" s="1" t="s">
        <v>194</v>
      </c>
      <c r="F22" s="1" t="s">
        <v>761</v>
      </c>
      <c r="G22" s="1">
        <v>5.0</v>
      </c>
      <c r="H22" s="1" t="s">
        <v>781</v>
      </c>
      <c r="I22" s="1" t="s">
        <v>770</v>
      </c>
      <c r="J22" s="1" t="s">
        <v>784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64">
        <v>46105.87195682871</v>
      </c>
      <c r="B23" s="1" t="s">
        <v>10</v>
      </c>
      <c r="C23" s="1" t="s">
        <v>13</v>
      </c>
      <c r="D23" s="1" t="s">
        <v>756</v>
      </c>
      <c r="E23" s="1"/>
      <c r="F23" s="1" t="s">
        <v>8</v>
      </c>
      <c r="G23" s="1"/>
      <c r="H23" s="1"/>
      <c r="I23" s="1"/>
      <c r="J23" s="1" t="s">
        <v>757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64">
        <v>46105.89773965278</v>
      </c>
      <c r="B24" s="1" t="s">
        <v>10</v>
      </c>
      <c r="C24" s="1" t="s">
        <v>13</v>
      </c>
      <c r="D24" s="1" t="s">
        <v>759</v>
      </c>
      <c r="E24" s="1" t="s">
        <v>185</v>
      </c>
      <c r="F24" s="1" t="s">
        <v>761</v>
      </c>
      <c r="G24" s="1">
        <v>2.0</v>
      </c>
      <c r="H24" s="1"/>
      <c r="I24" s="1" t="s">
        <v>762</v>
      </c>
      <c r="J24" s="1" t="s">
        <v>763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64">
        <v>46105.90124971065</v>
      </c>
      <c r="B25" s="1" t="s">
        <v>10</v>
      </c>
      <c r="C25" s="1" t="s">
        <v>13</v>
      </c>
      <c r="D25" s="1" t="s">
        <v>759</v>
      </c>
      <c r="E25" s="1" t="s">
        <v>194</v>
      </c>
      <c r="F25" s="1" t="s">
        <v>761</v>
      </c>
      <c r="G25" s="1">
        <v>3.0</v>
      </c>
      <c r="H25" s="1"/>
      <c r="I25" s="1" t="s">
        <v>762</v>
      </c>
      <c r="J25" s="1" t="s">
        <v>763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64">
        <v>46105.90227222222</v>
      </c>
      <c r="B26" s="1" t="s">
        <v>10</v>
      </c>
      <c r="C26" s="1" t="s">
        <v>13</v>
      </c>
      <c r="D26" s="1" t="s">
        <v>759</v>
      </c>
      <c r="E26" s="1" t="s">
        <v>199</v>
      </c>
      <c r="F26" s="1" t="s">
        <v>761</v>
      </c>
      <c r="G26" s="1">
        <v>4.0</v>
      </c>
      <c r="H26" s="1"/>
      <c r="I26" s="1" t="s">
        <v>762</v>
      </c>
      <c r="J26" s="1" t="s">
        <v>763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64">
        <v>46105.90477122685</v>
      </c>
      <c r="B27" s="1" t="s">
        <v>10</v>
      </c>
      <c r="C27" s="1" t="s">
        <v>13</v>
      </c>
      <c r="D27" s="1" t="s">
        <v>764</v>
      </c>
      <c r="E27" s="1" t="s">
        <v>185</v>
      </c>
      <c r="F27" s="1" t="s">
        <v>761</v>
      </c>
      <c r="G27" s="1">
        <v>2.0</v>
      </c>
      <c r="H27" s="1" t="s">
        <v>782</v>
      </c>
      <c r="I27" s="1" t="s">
        <v>766</v>
      </c>
      <c r="J27" s="1" t="s">
        <v>783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64">
        <v>46105.90495935185</v>
      </c>
      <c r="B28" s="1" t="s">
        <v>10</v>
      </c>
      <c r="C28" s="1" t="s">
        <v>13</v>
      </c>
      <c r="D28" s="1" t="s">
        <v>768</v>
      </c>
      <c r="E28" s="1" t="s">
        <v>185</v>
      </c>
      <c r="F28" s="1" t="s">
        <v>761</v>
      </c>
      <c r="G28" s="1">
        <v>2.0</v>
      </c>
      <c r="H28" s="1" t="s">
        <v>781</v>
      </c>
      <c r="I28" s="1" t="s">
        <v>770</v>
      </c>
      <c r="J28" s="1" t="s">
        <v>784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64">
        <v>46105.90525101852</v>
      </c>
      <c r="B29" s="1" t="s">
        <v>10</v>
      </c>
      <c r="C29" s="1" t="s">
        <v>13</v>
      </c>
      <c r="D29" s="1" t="s">
        <v>768</v>
      </c>
      <c r="E29" s="1" t="s">
        <v>185</v>
      </c>
      <c r="F29" s="1" t="s">
        <v>761</v>
      </c>
      <c r="G29" s="1">
        <v>2.0</v>
      </c>
      <c r="H29" s="1" t="s">
        <v>770</v>
      </c>
      <c r="I29" s="1" t="s">
        <v>770</v>
      </c>
      <c r="J29" s="1" t="s">
        <v>784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64">
        <v>46106.82502258102</v>
      </c>
      <c r="B30" s="1" t="s">
        <v>10</v>
      </c>
      <c r="C30" s="1" t="s">
        <v>13</v>
      </c>
      <c r="D30" s="1" t="s">
        <v>756</v>
      </c>
      <c r="E30" s="1"/>
      <c r="F30" s="1" t="s">
        <v>8</v>
      </c>
      <c r="G30" s="1"/>
      <c r="H30" s="1"/>
      <c r="I30" s="1"/>
      <c r="J30" s="1" t="s">
        <v>757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64">
        <v>46107.35479984953</v>
      </c>
      <c r="B31" s="1" t="s">
        <v>10</v>
      </c>
      <c r="C31" s="1" t="s">
        <v>13</v>
      </c>
      <c r="D31" s="1" t="s">
        <v>756</v>
      </c>
      <c r="E31" s="1"/>
      <c r="F31" s="1" t="s">
        <v>8</v>
      </c>
      <c r="G31" s="1"/>
      <c r="H31" s="1"/>
      <c r="I31" s="1"/>
      <c r="J31" s="1" t="s">
        <v>757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64">
        <v>46107.354883125</v>
      </c>
      <c r="B32" s="1" t="s">
        <v>10</v>
      </c>
      <c r="C32" s="1" t="s">
        <v>13</v>
      </c>
      <c r="D32" s="1" t="s">
        <v>764</v>
      </c>
      <c r="E32" s="1" t="s">
        <v>194</v>
      </c>
      <c r="F32" s="1" t="s">
        <v>761</v>
      </c>
      <c r="G32" s="1">
        <v>3.0</v>
      </c>
      <c r="H32" s="1" t="s">
        <v>765</v>
      </c>
      <c r="I32" s="1" t="s">
        <v>766</v>
      </c>
      <c r="J32" s="1" t="s">
        <v>783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64">
        <v>46107.35515630787</v>
      </c>
      <c r="B33" s="1" t="s">
        <v>10</v>
      </c>
      <c r="C33" s="1" t="s">
        <v>13</v>
      </c>
      <c r="D33" s="1" t="s">
        <v>768</v>
      </c>
      <c r="E33" s="1" t="s">
        <v>194</v>
      </c>
      <c r="F33" s="1" t="s">
        <v>761</v>
      </c>
      <c r="G33" s="1">
        <v>3.0</v>
      </c>
      <c r="H33" s="1" t="s">
        <v>781</v>
      </c>
      <c r="I33" s="1" t="s">
        <v>770</v>
      </c>
      <c r="J33" s="1" t="s">
        <v>784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64">
        <v>46107.35562527778</v>
      </c>
      <c r="B34" s="1" t="s">
        <v>10</v>
      </c>
      <c r="C34" s="1" t="s">
        <v>13</v>
      </c>
      <c r="D34" s="1" t="s">
        <v>777</v>
      </c>
      <c r="E34" s="1"/>
      <c r="F34" s="1" t="s">
        <v>778</v>
      </c>
      <c r="G34" s="1"/>
      <c r="H34" s="1"/>
      <c r="I34" s="1"/>
      <c r="J34" s="1" t="s">
        <v>779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64">
        <v>46107.35736768519</v>
      </c>
      <c r="B35" s="1" t="s">
        <v>10</v>
      </c>
      <c r="C35" s="1" t="s">
        <v>13</v>
      </c>
      <c r="D35" s="1" t="s">
        <v>764</v>
      </c>
      <c r="E35" s="1" t="s">
        <v>199</v>
      </c>
      <c r="F35" s="1" t="s">
        <v>761</v>
      </c>
      <c r="G35" s="1">
        <v>4.0</v>
      </c>
      <c r="H35" s="1" t="s">
        <v>785</v>
      </c>
      <c r="I35" s="1" t="s">
        <v>766</v>
      </c>
      <c r="J35" s="1" t="s">
        <v>783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4">
        <v>46107.35762185185</v>
      </c>
      <c r="B36" s="1" t="s">
        <v>10</v>
      </c>
      <c r="C36" s="1" t="s">
        <v>13</v>
      </c>
      <c r="D36" s="1" t="s">
        <v>768</v>
      </c>
      <c r="E36" s="1" t="s">
        <v>199</v>
      </c>
      <c r="F36" s="1" t="s">
        <v>761</v>
      </c>
      <c r="G36" s="1">
        <v>4.0</v>
      </c>
      <c r="H36" s="1" t="s">
        <v>781</v>
      </c>
      <c r="I36" s="1" t="s">
        <v>770</v>
      </c>
      <c r="J36" s="1" t="s">
        <v>784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64">
        <v>46107.35903030093</v>
      </c>
      <c r="B37" s="1" t="s">
        <v>10</v>
      </c>
      <c r="C37" s="1" t="s">
        <v>13</v>
      </c>
      <c r="D37" s="1" t="s">
        <v>16</v>
      </c>
      <c r="E37" s="1"/>
      <c r="F37" s="1" t="s">
        <v>8</v>
      </c>
      <c r="G37" s="1"/>
      <c r="H37" s="1"/>
      <c r="I37" s="1"/>
      <c r="J37" s="1" t="s">
        <v>758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65">
        <v>46107.42704126157</v>
      </c>
      <c r="B38" s="72" t="s">
        <v>10</v>
      </c>
      <c r="C38" s="72" t="s">
        <v>13</v>
      </c>
      <c r="D38" s="72" t="s">
        <v>756</v>
      </c>
      <c r="E38" s="1"/>
      <c r="F38" s="72" t="s">
        <v>8</v>
      </c>
      <c r="G38" s="1"/>
      <c r="H38" s="1"/>
      <c r="I38" s="1"/>
      <c r="J38" s="72" t="s">
        <v>757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65">
        <v>46107.42724903935</v>
      </c>
      <c r="B39" s="72" t="s">
        <v>10</v>
      </c>
      <c r="C39" s="72" t="s">
        <v>13</v>
      </c>
      <c r="D39" s="72" t="s">
        <v>786</v>
      </c>
      <c r="E39" s="72" t="s">
        <v>199</v>
      </c>
      <c r="F39" s="72" t="s">
        <v>761</v>
      </c>
      <c r="G39" s="166">
        <v>4.0</v>
      </c>
      <c r="H39" s="72" t="s">
        <v>787</v>
      </c>
      <c r="I39" s="72" t="s">
        <v>788</v>
      </c>
      <c r="J39" s="72" t="s">
        <v>789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65">
        <v>46107.427545046296</v>
      </c>
      <c r="B40" s="72" t="s">
        <v>10</v>
      </c>
      <c r="C40" s="72" t="s">
        <v>13</v>
      </c>
      <c r="D40" s="72" t="s">
        <v>764</v>
      </c>
      <c r="E40" s="72" t="s">
        <v>199</v>
      </c>
      <c r="F40" s="72" t="s">
        <v>761</v>
      </c>
      <c r="G40" s="166">
        <v>4.0</v>
      </c>
      <c r="H40" s="72" t="s">
        <v>785</v>
      </c>
      <c r="I40" s="72" t="s">
        <v>766</v>
      </c>
      <c r="J40" s="72" t="s">
        <v>783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65">
        <v>46107.42773387731</v>
      </c>
      <c r="B41" s="72" t="s">
        <v>10</v>
      </c>
      <c r="C41" s="72" t="s">
        <v>13</v>
      </c>
      <c r="D41" s="72" t="s">
        <v>768</v>
      </c>
      <c r="E41" s="72" t="s">
        <v>199</v>
      </c>
      <c r="F41" s="72" t="s">
        <v>761</v>
      </c>
      <c r="G41" s="166">
        <v>4.0</v>
      </c>
      <c r="H41" s="72" t="s">
        <v>781</v>
      </c>
      <c r="I41" s="72" t="s">
        <v>770</v>
      </c>
      <c r="J41" s="72" t="s">
        <v>784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65">
        <v>46107.779955555554</v>
      </c>
      <c r="B42" s="72" t="s">
        <v>10</v>
      </c>
      <c r="C42" s="72" t="s">
        <v>13</v>
      </c>
      <c r="D42" s="72" t="s">
        <v>16</v>
      </c>
      <c r="E42" s="1"/>
      <c r="F42" s="72" t="s">
        <v>8</v>
      </c>
      <c r="G42" s="1"/>
      <c r="H42" s="1"/>
      <c r="I42" s="1"/>
      <c r="J42" s="72" t="s">
        <v>758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65">
        <v>46107.78005002315</v>
      </c>
      <c r="B43" s="72" t="s">
        <v>10</v>
      </c>
      <c r="C43" s="72" t="s">
        <v>13</v>
      </c>
      <c r="D43" s="72" t="s">
        <v>756</v>
      </c>
      <c r="E43" s="1"/>
      <c r="F43" s="72" t="s">
        <v>8</v>
      </c>
      <c r="G43" s="1"/>
      <c r="H43" s="1"/>
      <c r="I43" s="1"/>
      <c r="J43" s="72" t="s">
        <v>757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5">
        <v>46107.78084607639</v>
      </c>
      <c r="B44" s="72" t="s">
        <v>10</v>
      </c>
      <c r="C44" s="72" t="s">
        <v>13</v>
      </c>
      <c r="D44" s="72" t="s">
        <v>759</v>
      </c>
      <c r="E44" s="72" t="s">
        <v>201</v>
      </c>
      <c r="F44" s="72" t="s">
        <v>761</v>
      </c>
      <c r="G44" s="166">
        <v>5.0</v>
      </c>
      <c r="H44" s="1"/>
      <c r="I44" s="72" t="s">
        <v>762</v>
      </c>
      <c r="J44" s="72" t="s">
        <v>763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65">
        <v>46107.78140013889</v>
      </c>
      <c r="B45" s="72" t="s">
        <v>10</v>
      </c>
      <c r="C45" s="72" t="s">
        <v>13</v>
      </c>
      <c r="D45" s="72" t="s">
        <v>764</v>
      </c>
      <c r="E45" s="72" t="s">
        <v>199</v>
      </c>
      <c r="F45" s="72" t="s">
        <v>761</v>
      </c>
      <c r="G45" s="166">
        <v>4.0</v>
      </c>
      <c r="H45" s="72" t="s">
        <v>766</v>
      </c>
      <c r="I45" s="72" t="s">
        <v>766</v>
      </c>
      <c r="J45" s="72" t="s">
        <v>783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65">
        <v>46107.78161184028</v>
      </c>
      <c r="B46" s="72" t="s">
        <v>10</v>
      </c>
      <c r="C46" s="72" t="s">
        <v>13</v>
      </c>
      <c r="D46" s="72" t="s">
        <v>768</v>
      </c>
      <c r="E46" s="72" t="s">
        <v>199</v>
      </c>
      <c r="F46" s="72" t="s">
        <v>761</v>
      </c>
      <c r="G46" s="166">
        <v>4.0</v>
      </c>
      <c r="H46" s="72" t="s">
        <v>770</v>
      </c>
      <c r="I46" s="72" t="s">
        <v>770</v>
      </c>
      <c r="J46" s="72" t="s">
        <v>784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65">
        <v>46107.78213016204</v>
      </c>
      <c r="B47" s="72" t="s">
        <v>10</v>
      </c>
      <c r="C47" s="72" t="s">
        <v>13</v>
      </c>
      <c r="D47" s="72" t="s">
        <v>764</v>
      </c>
      <c r="E47" s="72" t="s">
        <v>201</v>
      </c>
      <c r="F47" s="72" t="s">
        <v>761</v>
      </c>
      <c r="G47" s="166">
        <v>5.0</v>
      </c>
      <c r="H47" s="72" t="s">
        <v>776</v>
      </c>
      <c r="I47" s="72" t="s">
        <v>766</v>
      </c>
      <c r="J47" s="72" t="s">
        <v>783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65">
        <v>46107.782706157406</v>
      </c>
      <c r="B48" s="72" t="s">
        <v>10</v>
      </c>
      <c r="C48" s="72" t="s">
        <v>13</v>
      </c>
      <c r="D48" s="72" t="s">
        <v>768</v>
      </c>
      <c r="E48" s="72" t="s">
        <v>201</v>
      </c>
      <c r="F48" s="72" t="s">
        <v>761</v>
      </c>
      <c r="G48" s="166">
        <v>5.0</v>
      </c>
      <c r="H48" s="72" t="s">
        <v>781</v>
      </c>
      <c r="I48" s="72" t="s">
        <v>770</v>
      </c>
      <c r="J48" s="72" t="s">
        <v>784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67" t="s">
        <v>790</v>
      </c>
      <c r="B1" s="167" t="s">
        <v>43</v>
      </c>
      <c r="C1" s="167" t="s">
        <v>44</v>
      </c>
      <c r="D1" s="167" t="s">
        <v>45</v>
      </c>
      <c r="E1" s="167" t="s">
        <v>46</v>
      </c>
      <c r="F1" s="1"/>
      <c r="G1" s="167" t="s">
        <v>791</v>
      </c>
      <c r="H1" s="167" t="s">
        <v>34</v>
      </c>
      <c r="I1" s="1"/>
      <c r="J1" s="1"/>
      <c r="K1" s="167" t="s">
        <v>791</v>
      </c>
      <c r="L1" s="167" t="s">
        <v>792</v>
      </c>
      <c r="M1" s="1"/>
      <c r="N1" s="1"/>
      <c r="O1" s="167" t="s">
        <v>793</v>
      </c>
      <c r="P1" s="167" t="s">
        <v>794</v>
      </c>
      <c r="Q1" s="1"/>
      <c r="R1" s="1"/>
      <c r="S1" s="167" t="s">
        <v>33</v>
      </c>
      <c r="T1" s="167" t="s">
        <v>34</v>
      </c>
      <c r="U1" s="168" t="s">
        <v>35</v>
      </c>
      <c r="V1" s="167" t="s">
        <v>36</v>
      </c>
      <c r="W1" s="168" t="s">
        <v>37</v>
      </c>
      <c r="X1" s="1"/>
      <c r="Y1" s="168" t="s">
        <v>795</v>
      </c>
      <c r="Z1" s="1"/>
    </row>
    <row r="2">
      <c r="A2" s="169">
        <v>1.0</v>
      </c>
      <c r="B2" s="168" t="s">
        <v>202</v>
      </c>
      <c r="C2" s="168" t="s">
        <v>187</v>
      </c>
      <c r="D2" s="168" t="s">
        <v>186</v>
      </c>
      <c r="E2" s="169">
        <v>1.0</v>
      </c>
      <c r="F2" s="1"/>
      <c r="G2" s="170">
        <v>46106.0</v>
      </c>
      <c r="H2" s="169">
        <v>285000.0</v>
      </c>
      <c r="I2" s="1"/>
      <c r="J2" s="1"/>
      <c r="K2" s="170">
        <v>46106.0</v>
      </c>
      <c r="L2" s="169">
        <v>3.0</v>
      </c>
      <c r="M2" s="1"/>
      <c r="N2" s="1"/>
      <c r="O2" s="168" t="s">
        <v>195</v>
      </c>
      <c r="P2" s="169">
        <v>1.0</v>
      </c>
      <c r="Q2" s="1"/>
      <c r="R2" s="1"/>
      <c r="S2" s="169">
        <v>4.0</v>
      </c>
      <c r="T2" s="169">
        <v>370000.0</v>
      </c>
      <c r="U2" s="169">
        <v>1.0</v>
      </c>
      <c r="V2" s="169">
        <v>3.0</v>
      </c>
      <c r="W2" s="169">
        <v>92500.0</v>
      </c>
      <c r="X2" s="1"/>
      <c r="Y2" s="168" t="s">
        <v>27</v>
      </c>
      <c r="Z2" s="1"/>
    </row>
    <row r="3">
      <c r="A3" s="169">
        <v>2.0</v>
      </c>
      <c r="B3" s="168" t="s">
        <v>151</v>
      </c>
      <c r="C3" s="168" t="s">
        <v>187</v>
      </c>
      <c r="D3" s="168" t="s">
        <v>186</v>
      </c>
      <c r="E3" s="169">
        <v>1.0</v>
      </c>
      <c r="F3" s="1"/>
      <c r="G3" s="171">
        <v>46107.0</v>
      </c>
      <c r="H3" s="166">
        <v>85000.0</v>
      </c>
      <c r="I3" s="1"/>
      <c r="J3" s="1"/>
      <c r="K3" s="171">
        <v>46107.0</v>
      </c>
      <c r="L3" s="166">
        <v>1.0</v>
      </c>
      <c r="M3" s="1"/>
      <c r="N3" s="1"/>
      <c r="O3" s="168" t="s">
        <v>186</v>
      </c>
      <c r="P3" s="169">
        <v>3.0</v>
      </c>
      <c r="Q3" s="1"/>
      <c r="R3" s="1"/>
      <c r="S3" s="1"/>
      <c r="T3" s="1"/>
      <c r="U3" s="1"/>
      <c r="V3" s="1"/>
      <c r="W3" s="1"/>
      <c r="X3" s="1"/>
      <c r="Y3" s="169">
        <v>2026.0</v>
      </c>
      <c r="Z3" s="1"/>
    </row>
    <row r="4">
      <c r="A4" s="169">
        <v>3.0</v>
      </c>
      <c r="B4" s="168" t="s">
        <v>117</v>
      </c>
      <c r="C4" s="168" t="s">
        <v>187</v>
      </c>
      <c r="D4" s="168" t="s">
        <v>186</v>
      </c>
      <c r="E4" s="169">
        <v>1.0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66">
        <v>4.0</v>
      </c>
      <c r="B5" s="72" t="s">
        <v>145</v>
      </c>
      <c r="C5" s="72" t="s">
        <v>196</v>
      </c>
      <c r="D5" s="72" t="s">
        <v>195</v>
      </c>
      <c r="E5" s="166">
        <v>1.0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